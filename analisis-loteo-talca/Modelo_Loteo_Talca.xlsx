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uestos" sheetId="1" state="visible" r:id="rId1"/>
    <sheet name="Flujo Conservador" sheetId="2" state="visible" r:id="rId2"/>
    <sheet name="Flujo Base" sheetId="3" state="visible" r:id="rId3"/>
    <sheet name="Flujo Optimista" sheetId="4" state="visible" r:id="rId4"/>
    <sheet name="Etapas 2 y 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8">
    <font>
      <name val="Calibri"/>
      <family val="2"/>
      <color theme="1"/>
      <sz val="11"/>
      <scheme val="minor"/>
    </font>
    <font>
      <b val="1"/>
      <color rgb="0017212A"/>
      <sz val="13"/>
    </font>
    <font>
      <i val="1"/>
      <sz val="9"/>
    </font>
    <font>
      <b val="1"/>
      <color rgb="002C5D7C"/>
      <sz val="10"/>
    </font>
    <font>
      <b val="1"/>
      <color rgb="00FFFFFF"/>
      <sz val="10"/>
    </font>
    <font>
      <b val="1"/>
      <color rgb="009C3B2E"/>
    </font>
    <font>
      <b val="1"/>
    </font>
    <font>
      <i val="1"/>
      <color rgb="009C3B2E"/>
      <sz val="10"/>
    </font>
  </fonts>
  <fills count="5">
    <fill>
      <patternFill/>
    </fill>
    <fill>
      <patternFill patternType="gray125"/>
    </fill>
    <fill>
      <patternFill patternType="solid">
        <fgColor rgb="002C5D7C"/>
      </patternFill>
    </fill>
    <fill>
      <patternFill patternType="solid">
        <fgColor rgb="00E9EBE4"/>
      </patternFill>
    </fill>
    <fill>
      <patternFill patternType="solid">
        <fgColor rgb="00E2EAEF"/>
      </patternFill>
    </fill>
  </fills>
  <borders count="2">
    <border>
      <left/>
      <right/>
      <top/>
      <bottom/>
      <diagonal/>
    </border>
    <border>
      <bottom style="thin">
        <color rgb="00D3D7CD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3" fontId="0" fillId="0" borderId="0" pivotButton="0" quotePrefix="0" xfId="0"/>
    <xf numFmtId="3" fontId="5" fillId="0" borderId="1" pivotButton="0" quotePrefix="0" xfId="0"/>
    <xf numFmtId="9" fontId="5" fillId="0" borderId="1" pivotButton="0" quotePrefix="0" xfId="0"/>
    <xf numFmtId="3" fontId="5" fillId="0" borderId="1" applyAlignment="1" pivotButton="0" quotePrefix="0" xfId="0">
      <alignment horizontal="center"/>
    </xf>
    <xf numFmtId="1" fontId="5" fillId="0" borderId="1" applyAlignment="1" pivotButton="0" quotePrefix="0" xfId="0">
      <alignment horizontal="center"/>
    </xf>
    <xf numFmtId="2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9" fontId="5" fillId="0" borderId="1" applyAlignment="1" pivotButton="0" quotePrefix="0" xfId="0">
      <alignment horizontal="center"/>
    </xf>
    <xf numFmtId="0" fontId="6" fillId="0" borderId="0" pivotButton="0" quotePrefix="0" xfId="0"/>
    <xf numFmtId="2" fontId="0" fillId="0" borderId="0" pivotButton="0" quotePrefix="0" xfId="0"/>
    <xf numFmtId="0" fontId="6" fillId="3" borderId="0" pivotButton="0" quotePrefix="0" xfId="0"/>
    <xf numFmtId="3" fontId="6" fillId="3" borderId="0" pivotButton="0" quotePrefix="0" xfId="0"/>
    <xf numFmtId="0" fontId="6" fillId="4" borderId="0" pivotButton="0" quotePrefix="0" xfId="0"/>
    <xf numFmtId="3" fontId="6" fillId="4" borderId="0" pivotButton="0" quotePrefix="0" xfId="0"/>
    <xf numFmtId="164" fontId="6" fillId="4" borderId="0" pivotButton="0" quotePrefix="0" xfId="0"/>
    <xf numFmtId="2" fontId="6" fillId="4" borderId="0" pivotButton="0" quotePrefix="0" xfId="0"/>
    <xf numFmtId="165" fontId="6" fillId="4" borderId="0" pivotButton="0" quotePrefix="0" xfId="0"/>
    <xf numFmtId="3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  <col width="58" customWidth="1" min="6" max="6"/>
  </cols>
  <sheetData>
    <row r="1">
      <c r="A1" s="1" t="inlineStr">
        <is>
          <t>MODELO — LOTEO 19,26 HA · AV. SAN MIGUEL 6850, TALCA</t>
        </is>
      </c>
    </row>
    <row r="2">
      <c r="A2" s="2" t="inlineStr">
        <is>
          <t>Las celdas en rojo son inputs. Todo lo demás se calcula.</t>
        </is>
      </c>
    </row>
    <row r="4">
      <c r="A4" s="3" t="inlineStr">
        <is>
          <t>DATOS DUROS (planos L_02 / L_03, agosto 2023)</t>
        </is>
      </c>
    </row>
    <row r="5">
      <c r="A5" s="4" t="inlineStr">
        <is>
          <t>Partida</t>
        </is>
      </c>
      <c r="B5" s="5" t="inlineStr">
        <is>
          <t>Valor</t>
        </is>
      </c>
      <c r="C5" s="5" t="inlineStr">
        <is>
          <t>Unidad</t>
        </is>
      </c>
      <c r="D5" s="5" t="inlineStr"/>
      <c r="E5" s="5" t="inlineStr"/>
      <c r="F5" s="5" t="inlineStr">
        <is>
          <t>Fuente</t>
        </is>
      </c>
    </row>
    <row r="6">
      <c r="A6" s="6" t="inlineStr">
        <is>
          <t>Paño fusionado</t>
        </is>
      </c>
      <c r="B6" s="7" t="n">
        <v>192627</v>
      </c>
      <c r="C6" s="6" t="inlineStr">
        <is>
          <t>m²</t>
        </is>
      </c>
      <c r="F6" s="2" t="inlineStr">
        <is>
          <t>Cuadro de fusión L_02</t>
        </is>
      </c>
    </row>
    <row r="7">
      <c r="A7" s="6" t="inlineStr">
        <is>
          <t>Superficie de los 90 sitios</t>
        </is>
      </c>
      <c r="B7" s="7" t="n">
        <v>127866</v>
      </c>
      <c r="C7" s="6" t="inlineStr">
        <is>
          <t>m²</t>
        </is>
      </c>
      <c r="F7" s="2" t="inlineStr">
        <is>
          <t>Suma cuadro de superficies L_03</t>
        </is>
      </c>
    </row>
    <row r="8">
      <c r="A8" s="6" t="inlineStr">
        <is>
          <t>N° de sitios</t>
        </is>
      </c>
      <c r="B8" s="7" t="n">
        <v>90</v>
      </c>
      <c r="C8" s="6" t="inlineStr">
        <is>
          <t>u</t>
        </is>
      </c>
      <c r="F8" s="2" t="inlineStr">
        <is>
          <t>Listado de lotes L_03</t>
        </is>
      </c>
    </row>
    <row r="9">
      <c r="A9" s="6" t="inlineStr">
        <is>
          <t>Paño colegio</t>
        </is>
      </c>
      <c r="B9" s="7" t="n">
        <v>18619</v>
      </c>
      <c r="C9" s="6" t="inlineStr">
        <is>
          <t>m²</t>
        </is>
      </c>
      <c r="F9" s="2" t="inlineStr">
        <is>
          <t>L_03</t>
        </is>
      </c>
    </row>
    <row r="10">
      <c r="A10" s="6" t="inlineStr">
        <is>
          <t>Paño locales comerciales</t>
        </is>
      </c>
      <c r="B10" s="7" t="n">
        <v>4386</v>
      </c>
      <c r="C10" s="6" t="inlineStr">
        <is>
          <t>m²</t>
        </is>
      </c>
      <c r="F10" s="2" t="inlineStr">
        <is>
          <t>L_03</t>
        </is>
      </c>
    </row>
    <row r="11">
      <c r="A11" s="6" t="inlineStr">
        <is>
          <t>Áreas verdes</t>
        </is>
      </c>
      <c r="B11" s="7" t="n">
        <v>13798</v>
      </c>
      <c r="C11" s="6" t="inlineStr">
        <is>
          <t>m²</t>
        </is>
      </c>
      <c r="F11" s="2" t="inlineStr">
        <is>
          <t>11.649 + 2.149, L_03</t>
        </is>
      </c>
    </row>
    <row r="12">
      <c r="A12" s="6" t="inlineStr">
        <is>
          <t>Vialidad + expropiación</t>
        </is>
      </c>
      <c r="B12" s="7" t="n">
        <v>27958</v>
      </c>
      <c r="C12" s="6" t="inlineStr">
        <is>
          <t>m²</t>
        </is>
      </c>
      <c r="F12" s="2" t="inlineStr">
        <is>
          <t>Por diferencia</t>
        </is>
      </c>
    </row>
    <row r="13">
      <c r="A13" t="inlineStr">
        <is>
          <t>Superficie promedio por sitio</t>
        </is>
      </c>
      <c r="B13" s="8">
        <f>B6/B7</f>
        <v/>
      </c>
      <c r="C13" t="inlineStr">
        <is>
          <t>m²</t>
        </is>
      </c>
    </row>
    <row r="15">
      <c r="A15" s="3" t="inlineStr">
        <is>
          <t>INPUTS — TERRENO</t>
        </is>
      </c>
    </row>
    <row r="16">
      <c r="A16" s="4" t="inlineStr">
        <is>
          <t>Variable</t>
        </is>
      </c>
      <c r="B16" s="5" t="inlineStr">
        <is>
          <t>Valor</t>
        </is>
      </c>
      <c r="C16" s="5" t="inlineStr">
        <is>
          <t>Unidad</t>
        </is>
      </c>
      <c r="D16" s="5" t="inlineStr"/>
      <c r="E16" s="5" t="inlineStr"/>
      <c r="F16" s="5" t="inlineStr">
        <is>
          <t>Comentario</t>
        </is>
      </c>
    </row>
    <row r="17">
      <c r="A17" s="6" t="inlineStr">
        <is>
          <t>Precio del terreno</t>
        </is>
      </c>
      <c r="B17" s="9" t="n">
        <v>119000</v>
      </c>
      <c r="C17" s="6" t="inlineStr">
        <is>
          <t>UF</t>
        </is>
      </c>
      <c r="F17" s="2" t="inlineStr">
        <is>
          <t>Precio pedido por el vendedor</t>
        </is>
      </c>
    </row>
    <row r="18">
      <c r="A18" s="6" t="inlineStr">
        <is>
          <t>Pie</t>
        </is>
      </c>
      <c r="B18" s="9" t="n">
        <v>10000</v>
      </c>
      <c r="C18" s="6" t="inlineStr">
        <is>
          <t>UF</t>
        </is>
      </c>
      <c r="F18" s="2" t="inlineStr">
        <is>
          <t>Propuesto: 10.000 en vez de 20.000</t>
        </is>
      </c>
    </row>
    <row r="19">
      <c r="A19" s="6" t="inlineStr">
        <is>
          <t>% de cada venta destinado al terreno</t>
        </is>
      </c>
      <c r="B19" s="10" t="n">
        <v>0.3</v>
      </c>
      <c r="C19" s="6" t="inlineStr">
        <is>
          <t>%</t>
        </is>
      </c>
      <c r="F19" s="2" t="inlineStr">
        <is>
          <t>30% de cada escritura</t>
        </is>
      </c>
    </row>
    <row r="20">
      <c r="A20" s="6" t="inlineStr">
        <is>
          <t>Año de vencimiento del plazo</t>
        </is>
      </c>
      <c r="B20" s="9" t="n">
        <v>6</v>
      </c>
      <c r="C20" s="6" t="inlineStr">
        <is>
          <t>año</t>
        </is>
      </c>
      <c r="F20" s="2" t="inlineStr">
        <is>
          <t>5 años desde el permiso, obtenido en el año 1</t>
        </is>
      </c>
    </row>
    <row r="21">
      <c r="A21" t="inlineStr">
        <is>
          <t>Saldo contra flujo</t>
        </is>
      </c>
      <c r="B21" s="8">
        <f>B17-B18</f>
        <v/>
      </c>
      <c r="C21" t="inlineStr">
        <is>
          <t>UF</t>
        </is>
      </c>
    </row>
    <row r="23">
      <c r="A23" s="3" t="inlineStr">
        <is>
          <t>INPUTS — ESCENARIOS</t>
        </is>
      </c>
    </row>
    <row r="24">
      <c r="A24" s="4" t="inlineStr">
        <is>
          <t>Variable</t>
        </is>
      </c>
      <c r="B24" s="5" t="inlineStr">
        <is>
          <t>Conservador</t>
        </is>
      </c>
      <c r="C24" s="5" t="inlineStr">
        <is>
          <t>Base</t>
        </is>
      </c>
      <c r="D24" s="5" t="inlineStr">
        <is>
          <t>Optimista</t>
        </is>
      </c>
      <c r="E24" s="5" t="inlineStr"/>
      <c r="F24" s="5" t="inlineStr">
        <is>
          <t>Comentario</t>
        </is>
      </c>
    </row>
    <row r="25">
      <c r="A25" s="6" t="inlineStr">
        <is>
          <t>Sitios vendidos por año</t>
        </is>
      </c>
      <c r="B25" s="11" t="n">
        <v>10</v>
      </c>
      <c r="C25" s="11" t="n">
        <v>15</v>
      </c>
      <c r="D25" s="11" t="n">
        <v>21</v>
      </c>
      <c r="F25" s="2" t="inlineStr">
        <is>
          <t>El supuesto que decide el negocio</t>
        </is>
      </c>
    </row>
    <row r="26">
      <c r="A26" s="6" t="inlineStr">
        <is>
          <t>Año de inicio de ventas</t>
        </is>
      </c>
      <c r="B26" s="12" t="n">
        <v>3</v>
      </c>
      <c r="C26" s="12" t="n">
        <v>2</v>
      </c>
      <c r="D26" s="12" t="n">
        <v>1</v>
      </c>
      <c r="F26" s="2" t="inlineStr">
        <is>
          <t>Depende de permisos y factibilidad</t>
        </is>
      </c>
    </row>
    <row r="27">
      <c r="A27" s="6" t="inlineStr">
        <is>
          <t>Precio inicial</t>
        </is>
      </c>
      <c r="B27" s="13" t="n">
        <v>3.3</v>
      </c>
      <c r="C27" s="13" t="n">
        <v>3.5</v>
      </c>
      <c r="D27" s="13" t="n">
        <v>3.5</v>
      </c>
      <c r="F27" s="2" t="inlineStr">
        <is>
          <t>UF/m²</t>
        </is>
      </c>
    </row>
    <row r="28">
      <c r="A28" s="6" t="inlineStr">
        <is>
          <t>Precio maduro</t>
        </is>
      </c>
      <c r="B28" s="13" t="n">
        <v>3.8</v>
      </c>
      <c r="C28" s="13" t="n">
        <v>4</v>
      </c>
      <c r="D28" s="13" t="n">
        <v>4.2</v>
      </c>
      <c r="F28" s="2" t="inlineStr">
        <is>
          <t>UF/m², desde el año 3 de venta</t>
        </is>
      </c>
    </row>
    <row r="29">
      <c r="A29" s="6" t="inlineStr">
        <is>
          <t>Año de venta en que sube el precio</t>
        </is>
      </c>
      <c r="B29" s="12" t="n">
        <v>4</v>
      </c>
      <c r="C29" s="12" t="n">
        <v>3</v>
      </c>
      <c r="D29" s="12" t="n">
        <v>2</v>
      </c>
      <c r="F29" s="2" t="inlineStr">
        <is>
          <t>1 = primer año de venta</t>
        </is>
      </c>
    </row>
    <row r="30">
      <c r="A30" s="6" t="inlineStr">
        <is>
          <t>Urbanización total (IVA incluido)</t>
        </is>
      </c>
      <c r="B30" s="11" t="n">
        <v>80000</v>
      </c>
      <c r="C30" s="11" t="n">
        <v>60000</v>
      </c>
      <c r="D30" s="11" t="n">
        <v>45000</v>
      </c>
      <c r="F30" s="2" t="inlineStr">
        <is>
          <t>UF — reconstruido del resumen por km; cotizar en firme</t>
        </is>
      </c>
    </row>
    <row r="31">
      <c r="A31" s="6" t="inlineStr">
        <is>
          <t>Gasto comercial</t>
        </is>
      </c>
      <c r="B31" s="14" t="n">
        <v>0.055</v>
      </c>
      <c r="C31" s="14" t="n">
        <v>0.045</v>
      </c>
      <c r="D31" s="14" t="n">
        <v>0.04</v>
      </c>
      <c r="F31" s="2" t="inlineStr">
        <is>
          <t>% sobre ventas</t>
        </is>
      </c>
    </row>
    <row r="32">
      <c r="A32" s="6" t="inlineStr">
        <is>
          <t>Administración anual</t>
        </is>
      </c>
      <c r="B32" s="11" t="n">
        <v>3000</v>
      </c>
      <c r="C32" s="11" t="n">
        <v>2500</v>
      </c>
      <c r="D32" s="11" t="n">
        <v>2500</v>
      </c>
      <c r="F32" s="2" t="inlineStr">
        <is>
          <t>UF/año</t>
        </is>
      </c>
    </row>
    <row r="33">
      <c r="A33" s="6" t="inlineStr">
        <is>
          <t>Proyectos y permisos año 0</t>
        </is>
      </c>
      <c r="B33" s="11" t="n">
        <v>9000</v>
      </c>
      <c r="C33" s="11" t="n">
        <v>9000</v>
      </c>
      <c r="D33" s="11" t="n">
        <v>9000</v>
      </c>
      <c r="F33" s="2" t="inlineStr">
        <is>
          <t>UF</t>
        </is>
      </c>
    </row>
    <row r="34">
      <c r="A34" s="6" t="inlineStr">
        <is>
          <t>Proyectos y permisos año 1</t>
        </is>
      </c>
      <c r="B34" s="11" t="n">
        <v>5000</v>
      </c>
      <c r="C34" s="11" t="n">
        <v>5000</v>
      </c>
      <c r="D34" s="11" t="n">
        <v>5000</v>
      </c>
      <c r="F34" s="2" t="inlineStr">
        <is>
          <t>UF</t>
        </is>
      </c>
    </row>
    <row r="35">
      <c r="A35" s="6" t="inlineStr">
        <is>
          <t>Contribuciones anuales</t>
        </is>
      </c>
      <c r="B35" s="11" t="n">
        <v>500</v>
      </c>
      <c r="C35" s="11" t="n">
        <v>500</v>
      </c>
      <c r="D35" s="11" t="n">
        <v>500</v>
      </c>
      <c r="F35" s="2" t="inlineStr">
        <is>
          <t>UF/año, incluye sobretasa sitio eriazo</t>
        </is>
      </c>
    </row>
    <row r="36">
      <c r="A36" s="6" t="inlineStr">
        <is>
          <t>Impuesto a la renta</t>
        </is>
      </c>
      <c r="B36" s="15" t="n">
        <v>0.27</v>
      </c>
      <c r="C36" s="15" t="n">
        <v>0.27</v>
      </c>
      <c r="D36" s="15" t="n">
        <v>0.27</v>
      </c>
      <c r="F36" s="2" t="inlineStr">
        <is>
          <t>Primera categoría</t>
        </is>
      </c>
    </row>
    <row r="37">
      <c r="A37" s="6" t="inlineStr">
        <is>
          <t>Tasa de descuento</t>
        </is>
      </c>
      <c r="B37" s="15" t="n">
        <v>0.12</v>
      </c>
      <c r="C37" s="15" t="n">
        <v>0.12</v>
      </c>
      <c r="D37" s="15" t="n">
        <v>0.12</v>
      </c>
      <c r="F37" s="2" t="inlineStr">
        <is>
          <t>Costo de capital del desarrollador</t>
        </is>
      </c>
    </row>
    <row r="38">
      <c r="A38" s="6" t="inlineStr">
        <is>
          <t>Preventa cobrada un año antes</t>
        </is>
      </c>
      <c r="B38" s="15" t="n">
        <v>0.2</v>
      </c>
      <c r="C38" s="15" t="n">
        <v>0.2</v>
      </c>
      <c r="D38" s="15" t="n">
        <v>0.2</v>
      </c>
      <c r="F38" s="2" t="inlineStr">
        <is>
          <t>Pie de promesa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FLUJO DE CAJA — ESCENARIO CONSERVADOR</t>
        </is>
      </c>
    </row>
    <row r="2">
      <c r="A2" s="2" t="inlineStr">
        <is>
          <t>Todos los valores en UF. Cambiar supuestos en la hoja 'Supuestos'.</t>
        </is>
      </c>
    </row>
    <row r="4">
      <c r="A4" s="4" t="inlineStr">
        <is>
          <t>Concepto</t>
        </is>
      </c>
      <c r="B4" s="5" t="inlineStr">
        <is>
          <t>Año 0</t>
        </is>
      </c>
      <c r="C4" s="5" t="inlineStr">
        <is>
          <t>Año 1</t>
        </is>
      </c>
      <c r="D4" s="5" t="inlineStr">
        <is>
          <t>Año 2</t>
        </is>
      </c>
      <c r="E4" s="5" t="inlineStr">
        <is>
          <t>Año 3</t>
        </is>
      </c>
      <c r="F4" s="5" t="inlineStr">
        <is>
          <t>Año 4</t>
        </is>
      </c>
      <c r="G4" s="5" t="inlineStr">
        <is>
          <t>Año 5</t>
        </is>
      </c>
      <c r="H4" s="5" t="inlineStr">
        <is>
          <t>Año 6</t>
        </is>
      </c>
      <c r="I4" s="5" t="inlineStr">
        <is>
          <t>Año 7</t>
        </is>
      </c>
      <c r="J4" s="5" t="inlineStr">
        <is>
          <t>Año 8</t>
        </is>
      </c>
      <c r="K4" s="5" t="inlineStr">
        <is>
          <t>Año 9</t>
        </is>
      </c>
      <c r="L4" s="5" t="inlineStr">
        <is>
          <t>Año 10</t>
        </is>
      </c>
      <c r="M4" s="5" t="inlineStr">
        <is>
          <t>Año 11</t>
        </is>
      </c>
      <c r="N4" s="5" t="inlineStr">
        <is>
          <t>Año 12</t>
        </is>
      </c>
      <c r="O4" s="5" t="inlineStr">
        <is>
          <t>Año 13</t>
        </is>
      </c>
      <c r="P4" s="5" t="inlineStr">
        <is>
          <t>Año 14</t>
        </is>
      </c>
      <c r="Q4" s="5" t="inlineStr">
        <is>
          <t>Año 15</t>
        </is>
      </c>
    </row>
    <row r="5">
      <c r="A5" s="16" t="inlineStr">
        <is>
          <t>Año</t>
        </is>
      </c>
      <c r="B5" s="16" t="n">
        <v>0</v>
      </c>
      <c r="C5" s="16" t="n">
        <v>1</v>
      </c>
      <c r="D5" s="16" t="n">
        <v>2</v>
      </c>
      <c r="E5" s="16" t="n">
        <v>3</v>
      </c>
      <c r="F5" s="16" t="n">
        <v>4</v>
      </c>
      <c r="G5" s="16" t="n">
        <v>5</v>
      </c>
      <c r="H5" s="16" t="n">
        <v>6</v>
      </c>
      <c r="I5" s="16" t="n">
        <v>7</v>
      </c>
      <c r="J5" s="16" t="n">
        <v>8</v>
      </c>
      <c r="K5" s="16" t="n">
        <v>9</v>
      </c>
      <c r="L5" s="16" t="n">
        <v>10</v>
      </c>
      <c r="M5" s="16" t="n">
        <v>11</v>
      </c>
      <c r="N5" s="16" t="n">
        <v>12</v>
      </c>
      <c r="O5" s="16" t="n">
        <v>13</v>
      </c>
      <c r="P5" s="16" t="n">
        <v>14</v>
      </c>
      <c r="Q5" s="16" t="n">
        <v>15</v>
      </c>
    </row>
    <row r="6">
      <c r="A6" t="inlineStr">
        <is>
          <t>Sitios vendidos acumulados (previo)</t>
        </is>
      </c>
      <c r="B6" s="8">
        <f>0</f>
        <v/>
      </c>
      <c r="C6" s="8">
        <f>B6+B7</f>
        <v/>
      </c>
      <c r="D6" s="8">
        <f>C6+C7</f>
        <v/>
      </c>
      <c r="E6" s="8">
        <f>D6+D7</f>
        <v/>
      </c>
      <c r="F6" s="8">
        <f>E6+E7</f>
        <v/>
      </c>
      <c r="G6" s="8">
        <f>F6+F7</f>
        <v/>
      </c>
      <c r="H6" s="8">
        <f>G6+G7</f>
        <v/>
      </c>
      <c r="I6" s="8">
        <f>H6+H7</f>
        <v/>
      </c>
      <c r="J6" s="8">
        <f>I6+I7</f>
        <v/>
      </c>
      <c r="K6" s="8">
        <f>J6+J7</f>
        <v/>
      </c>
      <c r="L6" s="8">
        <f>K6+K7</f>
        <v/>
      </c>
      <c r="M6" s="8">
        <f>L6+L7</f>
        <v/>
      </c>
      <c r="N6" s="8">
        <f>M6+M7</f>
        <v/>
      </c>
      <c r="O6" s="8">
        <f>N6+N7</f>
        <v/>
      </c>
      <c r="P6" s="8">
        <f>O6+O7</f>
        <v/>
      </c>
      <c r="Q6" s="8">
        <f>P6+P7</f>
        <v/>
      </c>
    </row>
    <row r="7">
      <c r="A7" s="16" t="inlineStr">
        <is>
          <t>Sitios vendidos en el año</t>
        </is>
      </c>
      <c r="B7" s="8">
        <f>IF(0&lt;Supuestos!$B$26,0,MIN(Supuestos!$B$25,Supuestos!$B$7-B6))</f>
        <v/>
      </c>
      <c r="C7" s="8">
        <f>IF(1&lt;Supuestos!$B$26,0,MIN(Supuestos!$B$25,Supuestos!$B$7-C6))</f>
        <v/>
      </c>
      <c r="D7" s="8">
        <f>IF(2&lt;Supuestos!$B$26,0,MIN(Supuestos!$B$25,Supuestos!$B$7-D6))</f>
        <v/>
      </c>
      <c r="E7" s="8">
        <f>IF(3&lt;Supuestos!$B$26,0,MIN(Supuestos!$B$25,Supuestos!$B$7-E6))</f>
        <v/>
      </c>
      <c r="F7" s="8">
        <f>IF(4&lt;Supuestos!$B$26,0,MIN(Supuestos!$B$25,Supuestos!$B$7-F6))</f>
        <v/>
      </c>
      <c r="G7" s="8">
        <f>IF(5&lt;Supuestos!$B$26,0,MIN(Supuestos!$B$25,Supuestos!$B$7-G6))</f>
        <v/>
      </c>
      <c r="H7" s="8">
        <f>IF(6&lt;Supuestos!$B$26,0,MIN(Supuestos!$B$25,Supuestos!$B$7-H6))</f>
        <v/>
      </c>
      <c r="I7" s="8">
        <f>IF(7&lt;Supuestos!$B$26,0,MIN(Supuestos!$B$25,Supuestos!$B$7-I6))</f>
        <v/>
      </c>
      <c r="J7" s="8">
        <f>IF(8&lt;Supuestos!$B$26,0,MIN(Supuestos!$B$25,Supuestos!$B$7-J6))</f>
        <v/>
      </c>
      <c r="K7" s="8">
        <f>IF(9&lt;Supuestos!$B$26,0,MIN(Supuestos!$B$25,Supuestos!$B$7-K6))</f>
        <v/>
      </c>
      <c r="L7" s="8">
        <f>IF(10&lt;Supuestos!$B$26,0,MIN(Supuestos!$B$25,Supuestos!$B$7-L6))</f>
        <v/>
      </c>
      <c r="M7" s="8">
        <f>IF(11&lt;Supuestos!$B$26,0,MIN(Supuestos!$B$25,Supuestos!$B$7-M6))</f>
        <v/>
      </c>
      <c r="N7" s="8">
        <f>IF(12&lt;Supuestos!$B$26,0,MIN(Supuestos!$B$25,Supuestos!$B$7-N6))</f>
        <v/>
      </c>
      <c r="O7" s="8">
        <f>IF(13&lt;Supuestos!$B$26,0,MIN(Supuestos!$B$25,Supuestos!$B$7-O6))</f>
        <v/>
      </c>
      <c r="P7" s="8">
        <f>IF(14&lt;Supuestos!$B$26,0,MIN(Supuestos!$B$25,Supuestos!$B$7-P6))</f>
        <v/>
      </c>
      <c r="Q7" s="8">
        <f>IF(15&lt;Supuestos!$B$26,0,MIN(Supuestos!$B$25,Supuestos!$B$7-Q6))</f>
        <v/>
      </c>
    </row>
    <row r="8">
      <c r="A8" t="inlineStr">
        <is>
          <t>Precio del año (UF/m²)</t>
        </is>
      </c>
      <c r="B8" s="17">
        <f>IF(0&lt;Supuestos!$B$26,0,IF(0-Supuestos!$B$26+1&gt;=Supuestos!$B$29,Supuestos!$B$28,Supuestos!$B$27))</f>
        <v/>
      </c>
      <c r="C8" s="17">
        <f>IF(1&lt;Supuestos!$B$26,0,IF(1-Supuestos!$B$26+1&gt;=Supuestos!$B$29,Supuestos!$B$28,Supuestos!$B$27))</f>
        <v/>
      </c>
      <c r="D8" s="17">
        <f>IF(2&lt;Supuestos!$B$26,0,IF(2-Supuestos!$B$26+1&gt;=Supuestos!$B$29,Supuestos!$B$28,Supuestos!$B$27))</f>
        <v/>
      </c>
      <c r="E8" s="17">
        <f>IF(3&lt;Supuestos!$B$26,0,IF(3-Supuestos!$B$26+1&gt;=Supuestos!$B$29,Supuestos!$B$28,Supuestos!$B$27))</f>
        <v/>
      </c>
      <c r="F8" s="17">
        <f>IF(4&lt;Supuestos!$B$26,0,IF(4-Supuestos!$B$26+1&gt;=Supuestos!$B$29,Supuestos!$B$28,Supuestos!$B$27))</f>
        <v/>
      </c>
      <c r="G8" s="17">
        <f>IF(5&lt;Supuestos!$B$26,0,IF(5-Supuestos!$B$26+1&gt;=Supuestos!$B$29,Supuestos!$B$28,Supuestos!$B$27))</f>
        <v/>
      </c>
      <c r="H8" s="17">
        <f>IF(6&lt;Supuestos!$B$26,0,IF(6-Supuestos!$B$26+1&gt;=Supuestos!$B$29,Supuestos!$B$28,Supuestos!$B$27))</f>
        <v/>
      </c>
      <c r="I8" s="17">
        <f>IF(7&lt;Supuestos!$B$26,0,IF(7-Supuestos!$B$26+1&gt;=Supuestos!$B$29,Supuestos!$B$28,Supuestos!$B$27))</f>
        <v/>
      </c>
      <c r="J8" s="17">
        <f>IF(8&lt;Supuestos!$B$26,0,IF(8-Supuestos!$B$26+1&gt;=Supuestos!$B$29,Supuestos!$B$28,Supuestos!$B$27))</f>
        <v/>
      </c>
      <c r="K8" s="17">
        <f>IF(9&lt;Supuestos!$B$26,0,IF(9-Supuestos!$B$26+1&gt;=Supuestos!$B$29,Supuestos!$B$28,Supuestos!$B$27))</f>
        <v/>
      </c>
      <c r="L8" s="17">
        <f>IF(10&lt;Supuestos!$B$26,0,IF(10-Supuestos!$B$26+1&gt;=Supuestos!$B$29,Supuestos!$B$28,Supuestos!$B$27))</f>
        <v/>
      </c>
      <c r="M8" s="17">
        <f>IF(11&lt;Supuestos!$B$26,0,IF(11-Supuestos!$B$26+1&gt;=Supuestos!$B$29,Supuestos!$B$28,Supuestos!$B$27))</f>
        <v/>
      </c>
      <c r="N8" s="17">
        <f>IF(12&lt;Supuestos!$B$26,0,IF(12-Supuestos!$B$26+1&gt;=Supuestos!$B$29,Supuestos!$B$28,Supuestos!$B$27))</f>
        <v/>
      </c>
      <c r="O8" s="17">
        <f>IF(13&lt;Supuestos!$B$26,0,IF(13-Supuestos!$B$26+1&gt;=Supuestos!$B$29,Supuestos!$B$28,Supuestos!$B$27))</f>
        <v/>
      </c>
      <c r="P8" s="17">
        <f>IF(14&lt;Supuestos!$B$26,0,IF(14-Supuestos!$B$26+1&gt;=Supuestos!$B$29,Supuestos!$B$28,Supuestos!$B$27))</f>
        <v/>
      </c>
      <c r="Q8" s="17">
        <f>IF(15&lt;Supuestos!$B$26,0,IF(15-Supuestos!$B$26+1&gt;=Supuestos!$B$29,Supuestos!$B$28,Supuestos!$B$27))</f>
        <v/>
      </c>
    </row>
    <row r="9">
      <c r="A9" s="16" t="inlineStr">
        <is>
          <t>Ingresos por venta</t>
        </is>
      </c>
      <c r="B9" s="8">
        <f>B7*Supuestos!$B$13*B8</f>
        <v/>
      </c>
      <c r="C9" s="8">
        <f>C7*Supuestos!$B$13*C8</f>
        <v/>
      </c>
      <c r="D9" s="8">
        <f>D7*Supuestos!$B$13*D8</f>
        <v/>
      </c>
      <c r="E9" s="8">
        <f>E7*Supuestos!$B$13*E8</f>
        <v/>
      </c>
      <c r="F9" s="8">
        <f>F7*Supuestos!$B$13*F8</f>
        <v/>
      </c>
      <c r="G9" s="8">
        <f>G7*Supuestos!$B$13*G8</f>
        <v/>
      </c>
      <c r="H9" s="8">
        <f>H7*Supuestos!$B$13*H8</f>
        <v/>
      </c>
      <c r="I9" s="8">
        <f>I7*Supuestos!$B$13*I8</f>
        <v/>
      </c>
      <c r="J9" s="8">
        <f>J7*Supuestos!$B$13*J8</f>
        <v/>
      </c>
      <c r="K9" s="8">
        <f>K7*Supuestos!$B$13*K8</f>
        <v/>
      </c>
      <c r="L9" s="8">
        <f>L7*Supuestos!$B$13*L8</f>
        <v/>
      </c>
      <c r="M9" s="8">
        <f>M7*Supuestos!$B$13*M8</f>
        <v/>
      </c>
      <c r="N9" s="8">
        <f>N7*Supuestos!$B$13*N8</f>
        <v/>
      </c>
      <c r="O9" s="8">
        <f>O7*Supuestos!$B$13*O8</f>
        <v/>
      </c>
      <c r="P9" s="8">
        <f>P7*Supuestos!$B$13*P8</f>
        <v/>
      </c>
      <c r="Q9" s="8">
        <f>Q7*Supuestos!$B$13*Q8</f>
        <v/>
      </c>
    </row>
    <row r="10">
      <c r="A10" t="inlineStr">
        <is>
          <t>Caja por ventas (20% anticipado)</t>
        </is>
      </c>
      <c r="B10" s="8">
        <f>B9*(1-Supuestos!$B$38)+C9*Supuestos!$B$38</f>
        <v/>
      </c>
      <c r="C10" s="8">
        <f>C9*(1-Supuestos!$B$38)+D9*Supuestos!$B$38</f>
        <v/>
      </c>
      <c r="D10" s="8">
        <f>D9*(1-Supuestos!$B$38)+E9*Supuestos!$B$38</f>
        <v/>
      </c>
      <c r="E10" s="8">
        <f>E9*(1-Supuestos!$B$38)+F9*Supuestos!$B$38</f>
        <v/>
      </c>
      <c r="F10" s="8">
        <f>F9*(1-Supuestos!$B$38)+G9*Supuestos!$B$38</f>
        <v/>
      </c>
      <c r="G10" s="8">
        <f>G9*(1-Supuestos!$B$38)+H9*Supuestos!$B$38</f>
        <v/>
      </c>
      <c r="H10" s="8">
        <f>H9*(1-Supuestos!$B$38)+I9*Supuestos!$B$38</f>
        <v/>
      </c>
      <c r="I10" s="8">
        <f>I9*(1-Supuestos!$B$38)+J9*Supuestos!$B$38</f>
        <v/>
      </c>
      <c r="J10" s="8">
        <f>J9*(1-Supuestos!$B$38)+K9*Supuestos!$B$38</f>
        <v/>
      </c>
      <c r="K10" s="8">
        <f>K9*(1-Supuestos!$B$38)+L9*Supuestos!$B$38</f>
        <v/>
      </c>
      <c r="L10" s="8">
        <f>L9*(1-Supuestos!$B$38)+M9*Supuestos!$B$38</f>
        <v/>
      </c>
      <c r="M10" s="8">
        <f>M9*(1-Supuestos!$B$38)+N9*Supuestos!$B$38</f>
        <v/>
      </c>
      <c r="N10" s="8">
        <f>N9*(1-Supuestos!$B$38)+O9*Supuestos!$B$38</f>
        <v/>
      </c>
      <c r="O10" s="8">
        <f>O9*(1-Supuestos!$B$38)+P9*Supuestos!$B$38</f>
        <v/>
      </c>
      <c r="P10" s="8">
        <f>P9*(1-Supuestos!$B$38)+Q9*Supuestos!$B$38</f>
        <v/>
      </c>
      <c r="Q10" s="8">
        <f>Q9*(1-Supuestos!$B$38)</f>
        <v/>
      </c>
    </row>
    <row r="12">
      <c r="A12" t="inlineStr">
        <is>
          <t>Urbanización (4 macro-etapas)</t>
        </is>
      </c>
      <c r="B12" s="8">
        <f>Supuestos!$B$30*(IF(0=Supuestos!$B$26-1,0.3,0)+IF(0=Supuestos!$B$26,0.25,0)+IF(0=Supuestos!$B$26+2,0.25,0)+IF(0=Supuestos!$B$26+4,0.2,0))</f>
        <v/>
      </c>
      <c r="C12" s="8">
        <f>Supuestos!$B$30*(IF(1=Supuestos!$B$26-1,0.3,0)+IF(1=Supuestos!$B$26,0.25,0)+IF(1=Supuestos!$B$26+2,0.25,0)+IF(1=Supuestos!$B$26+4,0.2,0))</f>
        <v/>
      </c>
      <c r="D12" s="8">
        <f>Supuestos!$B$30*(IF(2=Supuestos!$B$26-1,0.3,0)+IF(2=Supuestos!$B$26,0.25,0)+IF(2=Supuestos!$B$26+2,0.25,0)+IF(2=Supuestos!$B$26+4,0.2,0))</f>
        <v/>
      </c>
      <c r="E12" s="8">
        <f>Supuestos!$B$30*(IF(3=Supuestos!$B$26-1,0.3,0)+IF(3=Supuestos!$B$26,0.25,0)+IF(3=Supuestos!$B$26+2,0.25,0)+IF(3=Supuestos!$B$26+4,0.2,0))</f>
        <v/>
      </c>
      <c r="F12" s="8">
        <f>Supuestos!$B$30*(IF(4=Supuestos!$B$26-1,0.3,0)+IF(4=Supuestos!$B$26,0.25,0)+IF(4=Supuestos!$B$26+2,0.25,0)+IF(4=Supuestos!$B$26+4,0.2,0))</f>
        <v/>
      </c>
      <c r="G12" s="8">
        <f>Supuestos!$B$30*(IF(5=Supuestos!$B$26-1,0.3,0)+IF(5=Supuestos!$B$26,0.25,0)+IF(5=Supuestos!$B$26+2,0.25,0)+IF(5=Supuestos!$B$26+4,0.2,0))</f>
        <v/>
      </c>
      <c r="H12" s="8">
        <f>Supuestos!$B$30*(IF(6=Supuestos!$B$26-1,0.3,0)+IF(6=Supuestos!$B$26,0.25,0)+IF(6=Supuestos!$B$26+2,0.25,0)+IF(6=Supuestos!$B$26+4,0.2,0))</f>
        <v/>
      </c>
      <c r="I12" s="8">
        <f>Supuestos!$B$30*(IF(7=Supuestos!$B$26-1,0.3,0)+IF(7=Supuestos!$B$26,0.25,0)+IF(7=Supuestos!$B$26+2,0.25,0)+IF(7=Supuestos!$B$26+4,0.2,0))</f>
        <v/>
      </c>
      <c r="J12" s="8">
        <f>Supuestos!$B$30*(IF(8=Supuestos!$B$26-1,0.3,0)+IF(8=Supuestos!$B$26,0.25,0)+IF(8=Supuestos!$B$26+2,0.25,0)+IF(8=Supuestos!$B$26+4,0.2,0))</f>
        <v/>
      </c>
      <c r="K12" s="8">
        <f>Supuestos!$B$30*(IF(9=Supuestos!$B$26-1,0.3,0)+IF(9=Supuestos!$B$26,0.25,0)+IF(9=Supuestos!$B$26+2,0.25,0)+IF(9=Supuestos!$B$26+4,0.2,0))</f>
        <v/>
      </c>
      <c r="L12" s="8">
        <f>Supuestos!$B$30*(IF(10=Supuestos!$B$26-1,0.3,0)+IF(10=Supuestos!$B$26,0.25,0)+IF(10=Supuestos!$B$26+2,0.25,0)+IF(10=Supuestos!$B$26+4,0.2,0))</f>
        <v/>
      </c>
      <c r="M12" s="8">
        <f>Supuestos!$B$30*(IF(11=Supuestos!$B$26-1,0.3,0)+IF(11=Supuestos!$B$26,0.25,0)+IF(11=Supuestos!$B$26+2,0.25,0)+IF(11=Supuestos!$B$26+4,0.2,0))</f>
        <v/>
      </c>
      <c r="N12" s="8">
        <f>Supuestos!$B$30*(IF(12=Supuestos!$B$26-1,0.3,0)+IF(12=Supuestos!$B$26,0.25,0)+IF(12=Supuestos!$B$26+2,0.25,0)+IF(12=Supuestos!$B$26+4,0.2,0))</f>
        <v/>
      </c>
      <c r="O12" s="8">
        <f>Supuestos!$B$30*(IF(13=Supuestos!$B$26-1,0.3,0)+IF(13=Supuestos!$B$26,0.25,0)+IF(13=Supuestos!$B$26+2,0.25,0)+IF(13=Supuestos!$B$26+4,0.2,0))</f>
        <v/>
      </c>
      <c r="P12" s="8">
        <f>Supuestos!$B$30*(IF(14=Supuestos!$B$26-1,0.3,0)+IF(14=Supuestos!$B$26,0.25,0)+IF(14=Supuestos!$B$26+2,0.25,0)+IF(14=Supuestos!$B$26+4,0.2,0))</f>
        <v/>
      </c>
      <c r="Q12" s="8">
        <f>Supuestos!$B$30*(IF(15=Supuestos!$B$26-1,0.3,0)+IF(15=Supuestos!$B$26,0.25,0)+IF(15=Supuestos!$B$26+2,0.25,0)+IF(15=Supuestos!$B$26+4,0.2,0))</f>
        <v/>
      </c>
    </row>
    <row r="13">
      <c r="A13" t="inlineStr">
        <is>
          <t>Proyectos, permisos y especialidades</t>
        </is>
      </c>
      <c r="B13" s="8">
        <f>Supuestos!$B$33</f>
        <v/>
      </c>
      <c r="C13" s="8">
        <f>Supuestos!$B$34</f>
        <v/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</row>
    <row r="14">
      <c r="A14" t="inlineStr">
        <is>
          <t>Gasto comercial</t>
        </is>
      </c>
      <c r="B14" s="8">
        <f>B9*Supuestos!$B$31</f>
        <v/>
      </c>
      <c r="C14" s="8">
        <f>C9*Supuestos!$B$31</f>
        <v/>
      </c>
      <c r="D14" s="8">
        <f>D9*Supuestos!$B$31</f>
        <v/>
      </c>
      <c r="E14" s="8">
        <f>E9*Supuestos!$B$31</f>
        <v/>
      </c>
      <c r="F14" s="8">
        <f>F9*Supuestos!$B$31</f>
        <v/>
      </c>
      <c r="G14" s="8">
        <f>G9*Supuestos!$B$31</f>
        <v/>
      </c>
      <c r="H14" s="8">
        <f>H9*Supuestos!$B$31</f>
        <v/>
      </c>
      <c r="I14" s="8">
        <f>I9*Supuestos!$B$31</f>
        <v/>
      </c>
      <c r="J14" s="8">
        <f>J9*Supuestos!$B$31</f>
        <v/>
      </c>
      <c r="K14" s="8">
        <f>K9*Supuestos!$B$31</f>
        <v/>
      </c>
      <c r="L14" s="8">
        <f>L9*Supuestos!$B$31</f>
        <v/>
      </c>
      <c r="M14" s="8">
        <f>M9*Supuestos!$B$31</f>
        <v/>
      </c>
      <c r="N14" s="8">
        <f>N9*Supuestos!$B$31</f>
        <v/>
      </c>
      <c r="O14" s="8">
        <f>O9*Supuestos!$B$31</f>
        <v/>
      </c>
      <c r="P14" s="8">
        <f>P9*Supuestos!$B$31</f>
        <v/>
      </c>
      <c r="Q14" s="8">
        <f>Q9*Supuestos!$B$31</f>
        <v/>
      </c>
    </row>
    <row r="15">
      <c r="A15" t="inlineStr">
        <is>
          <t>Administración y contribuciones</t>
        </is>
      </c>
      <c r="B15" s="8">
        <f>IF(OR(B7&gt;0,0&lt;Supuestos!$B$26),Supuestos!$B$32+Supuestos!$B$35,0)</f>
        <v/>
      </c>
      <c r="C15" s="8">
        <f>IF(OR(C7&gt;0,1&lt;Supuestos!$B$26),Supuestos!$B$32+Supuestos!$B$35,0)</f>
        <v/>
      </c>
      <c r="D15" s="8">
        <f>IF(OR(D7&gt;0,2&lt;Supuestos!$B$26),Supuestos!$B$32+Supuestos!$B$35,0)</f>
        <v/>
      </c>
      <c r="E15" s="8">
        <f>IF(OR(E7&gt;0,3&lt;Supuestos!$B$26),Supuestos!$B$32+Supuestos!$B$35,0)</f>
        <v/>
      </c>
      <c r="F15" s="8">
        <f>IF(OR(F7&gt;0,4&lt;Supuestos!$B$26),Supuestos!$B$32+Supuestos!$B$35,0)</f>
        <v/>
      </c>
      <c r="G15" s="8">
        <f>IF(OR(G7&gt;0,5&lt;Supuestos!$B$26),Supuestos!$B$32+Supuestos!$B$35,0)</f>
        <v/>
      </c>
      <c r="H15" s="8">
        <f>IF(OR(H7&gt;0,6&lt;Supuestos!$B$26),Supuestos!$B$32+Supuestos!$B$35,0)</f>
        <v/>
      </c>
      <c r="I15" s="8">
        <f>IF(OR(I7&gt;0,7&lt;Supuestos!$B$26),Supuestos!$B$32+Supuestos!$B$35,0)</f>
        <v/>
      </c>
      <c r="J15" s="8">
        <f>IF(OR(J7&gt;0,8&lt;Supuestos!$B$26),Supuestos!$B$32+Supuestos!$B$35,0)</f>
        <v/>
      </c>
      <c r="K15" s="8">
        <f>IF(OR(K7&gt;0,9&lt;Supuestos!$B$26),Supuestos!$B$32+Supuestos!$B$35,0)</f>
        <v/>
      </c>
      <c r="L15" s="8">
        <f>IF(OR(L7&gt;0,10&lt;Supuestos!$B$26),Supuestos!$B$32+Supuestos!$B$35,0)</f>
        <v/>
      </c>
      <c r="M15" s="8">
        <f>IF(OR(M7&gt;0,11&lt;Supuestos!$B$26),Supuestos!$B$32+Supuestos!$B$35,0)</f>
        <v/>
      </c>
      <c r="N15" s="8">
        <f>IF(OR(N7&gt;0,12&lt;Supuestos!$B$26),Supuestos!$B$32+Supuestos!$B$35,0)</f>
        <v/>
      </c>
      <c r="O15" s="8">
        <f>IF(OR(O7&gt;0,13&lt;Supuestos!$B$26),Supuestos!$B$32+Supuestos!$B$35,0)</f>
        <v/>
      </c>
      <c r="P15" s="8">
        <f>IF(OR(P7&gt;0,14&lt;Supuestos!$B$26),Supuestos!$B$32+Supuestos!$B$35,0)</f>
        <v/>
      </c>
      <c r="Q15" s="8">
        <f>IF(OR(Q7&gt;0,15&lt;Supuestos!$B$26),Supuestos!$B$32+Supuestos!$B$35,0)</f>
        <v/>
      </c>
    </row>
    <row r="16">
      <c r="A16" s="18" t="inlineStr">
        <is>
          <t>Total egresos operacionales</t>
        </is>
      </c>
      <c r="B16" s="19">
        <f>B12+B13+B14+B15</f>
        <v/>
      </c>
      <c r="C16" s="19">
        <f>C12+C13+C14+C15</f>
        <v/>
      </c>
      <c r="D16" s="19">
        <f>D12+D13+D14+D15</f>
        <v/>
      </c>
      <c r="E16" s="19">
        <f>E12+E13+E14+E15</f>
        <v/>
      </c>
      <c r="F16" s="19">
        <f>F12+F13+F14+F15</f>
        <v/>
      </c>
      <c r="G16" s="19">
        <f>G12+G13+G14+G15</f>
        <v/>
      </c>
      <c r="H16" s="19">
        <f>H12+H13+H14+H15</f>
        <v/>
      </c>
      <c r="I16" s="19">
        <f>I12+I13+I14+I15</f>
        <v/>
      </c>
      <c r="J16" s="19">
        <f>J12+J13+J14+J15</f>
        <v/>
      </c>
      <c r="K16" s="19">
        <f>K12+K13+K14+K15</f>
        <v/>
      </c>
      <c r="L16" s="19">
        <f>L12+L13+L14+L15</f>
        <v/>
      </c>
      <c r="M16" s="19">
        <f>M12+M13+M14+M15</f>
        <v/>
      </c>
      <c r="N16" s="19">
        <f>N12+N13+N14+N15</f>
        <v/>
      </c>
      <c r="O16" s="19">
        <f>O12+O13+O14+O15</f>
        <v/>
      </c>
      <c r="P16" s="19">
        <f>P12+P13+P14+P15</f>
        <v/>
      </c>
      <c r="Q16" s="19">
        <f>Q12+Q13+Q14+Q15</f>
        <v/>
      </c>
    </row>
    <row r="18">
      <c r="A18" s="16" t="inlineStr">
        <is>
          <t>Pago del terreno</t>
        </is>
      </c>
      <c r="B18" s="8">
        <f>Supuestos!$B$18</f>
        <v/>
      </c>
      <c r="C18" s="8">
        <f>IF(1&gt;=Supuestos!$B$20,MAX(0,Supuestos!$B$17-SUM($B18:B18)),MIN(C10*Supuestos!$B$19,MAX(0,Supuestos!$B$17-SUM($B18:B18))))</f>
        <v/>
      </c>
      <c r="D18" s="8">
        <f>IF(2&gt;=Supuestos!$B$20,MAX(0,Supuestos!$B$17-SUM($B18:C18)),MIN(D10*Supuestos!$B$19,MAX(0,Supuestos!$B$17-SUM($B18:C18))))</f>
        <v/>
      </c>
      <c r="E18" s="8">
        <f>IF(3&gt;=Supuestos!$B$20,MAX(0,Supuestos!$B$17-SUM($B18:D18)),MIN(E10*Supuestos!$B$19,MAX(0,Supuestos!$B$17-SUM($B18:D18))))</f>
        <v/>
      </c>
      <c r="F18" s="8">
        <f>IF(4&gt;=Supuestos!$B$20,MAX(0,Supuestos!$B$17-SUM($B18:E18)),MIN(F10*Supuestos!$B$19,MAX(0,Supuestos!$B$17-SUM($B18:E18))))</f>
        <v/>
      </c>
      <c r="G18" s="8">
        <f>IF(5&gt;=Supuestos!$B$20,MAX(0,Supuestos!$B$17-SUM($B18:F18)),MIN(G10*Supuestos!$B$19,MAX(0,Supuestos!$B$17-SUM($B18:F18))))</f>
        <v/>
      </c>
      <c r="H18" s="8">
        <f>IF(6&gt;=Supuestos!$B$20,MAX(0,Supuestos!$B$17-SUM($B18:G18)),MIN(H10*Supuestos!$B$19,MAX(0,Supuestos!$B$17-SUM($B18:G18))))</f>
        <v/>
      </c>
      <c r="I18" s="8">
        <f>IF(7&gt;=Supuestos!$B$20,MAX(0,Supuestos!$B$17-SUM($B18:H18)),MIN(I10*Supuestos!$B$19,MAX(0,Supuestos!$B$17-SUM($B18:H18))))</f>
        <v/>
      </c>
      <c r="J18" s="8">
        <f>IF(8&gt;=Supuestos!$B$20,MAX(0,Supuestos!$B$17-SUM($B18:I18)),MIN(J10*Supuestos!$B$19,MAX(0,Supuestos!$B$17-SUM($B18:I18))))</f>
        <v/>
      </c>
      <c r="K18" s="8">
        <f>IF(9&gt;=Supuestos!$B$20,MAX(0,Supuestos!$B$17-SUM($B18:J18)),MIN(K10*Supuestos!$B$19,MAX(0,Supuestos!$B$17-SUM($B18:J18))))</f>
        <v/>
      </c>
      <c r="L18" s="8">
        <f>IF(10&gt;=Supuestos!$B$20,MAX(0,Supuestos!$B$17-SUM($B18:K18)),MIN(L10*Supuestos!$B$19,MAX(0,Supuestos!$B$17-SUM($B18:K18))))</f>
        <v/>
      </c>
      <c r="M18" s="8">
        <f>IF(11&gt;=Supuestos!$B$20,MAX(0,Supuestos!$B$17-SUM($B18:L18)),MIN(M10*Supuestos!$B$19,MAX(0,Supuestos!$B$17-SUM($B18:L18))))</f>
        <v/>
      </c>
      <c r="N18" s="8">
        <f>IF(12&gt;=Supuestos!$B$20,MAX(0,Supuestos!$B$17-SUM($B18:M18)),MIN(N10*Supuestos!$B$19,MAX(0,Supuestos!$B$17-SUM($B18:M18))))</f>
        <v/>
      </c>
      <c r="O18" s="8">
        <f>IF(13&gt;=Supuestos!$B$20,MAX(0,Supuestos!$B$17-SUM($B18:N18)),MIN(O10*Supuestos!$B$19,MAX(0,Supuestos!$B$17-SUM($B18:N18))))</f>
        <v/>
      </c>
      <c r="P18" s="8">
        <f>IF(14&gt;=Supuestos!$B$20,MAX(0,Supuestos!$B$17-SUM($B18:O18)),MIN(P10*Supuestos!$B$19,MAX(0,Supuestos!$B$17-SUM($B18:O18))))</f>
        <v/>
      </c>
      <c r="Q18" s="8">
        <f>IF(15&gt;=Supuestos!$B$20,MAX(0,Supuestos!$B$17-SUM($B18:P18)),MIN(Q10*Supuestos!$B$19,MAX(0,Supuestos!$B$17-SUM($B18:P18))))</f>
        <v/>
      </c>
    </row>
    <row r="19">
      <c r="A19" t="inlineStr">
        <is>
          <t>Saldo del terreno pendiente</t>
        </is>
      </c>
      <c r="B19" s="8">
        <f>MAX(0,Supuestos!$B$17-SUM($B18:B18))</f>
        <v/>
      </c>
      <c r="C19" s="8">
        <f>MAX(0,Supuestos!$B$17-SUM($B18:C18))</f>
        <v/>
      </c>
      <c r="D19" s="8">
        <f>MAX(0,Supuestos!$B$17-SUM($B18:D18))</f>
        <v/>
      </c>
      <c r="E19" s="8">
        <f>MAX(0,Supuestos!$B$17-SUM($B18:E18))</f>
        <v/>
      </c>
      <c r="F19" s="8">
        <f>MAX(0,Supuestos!$B$17-SUM($B18:F18))</f>
        <v/>
      </c>
      <c r="G19" s="8">
        <f>MAX(0,Supuestos!$B$17-SUM($B18:G18))</f>
        <v/>
      </c>
      <c r="H19" s="8">
        <f>MAX(0,Supuestos!$B$17-SUM($B18:H18))</f>
        <v/>
      </c>
      <c r="I19" s="8">
        <f>MAX(0,Supuestos!$B$17-SUM($B18:I18))</f>
        <v/>
      </c>
      <c r="J19" s="8">
        <f>MAX(0,Supuestos!$B$17-SUM($B18:J18))</f>
        <v/>
      </c>
      <c r="K19" s="8">
        <f>MAX(0,Supuestos!$B$17-SUM($B18:K18))</f>
        <v/>
      </c>
      <c r="L19" s="8">
        <f>MAX(0,Supuestos!$B$17-SUM($B18:L18))</f>
        <v/>
      </c>
      <c r="M19" s="8">
        <f>MAX(0,Supuestos!$B$17-SUM($B18:M18))</f>
        <v/>
      </c>
      <c r="N19" s="8">
        <f>MAX(0,Supuestos!$B$17-SUM($B18:N18))</f>
        <v/>
      </c>
      <c r="O19" s="8">
        <f>MAX(0,Supuestos!$B$17-SUM($B18:O18))</f>
        <v/>
      </c>
      <c r="P19" s="8">
        <f>MAX(0,Supuestos!$B$17-SUM($B18:P18))</f>
        <v/>
      </c>
      <c r="Q19" s="8">
        <f>MAX(0,Supuestos!$B$17-SUM($B18:Q18))</f>
        <v/>
      </c>
    </row>
    <row r="20">
      <c r="A20" t="inlineStr">
        <is>
          <t>Impuesto a la renta (pagado al año siguiente)</t>
        </is>
      </c>
      <c r="B20" s="8" t="n">
        <v>0</v>
      </c>
      <c r="C20" s="8">
        <f>MAX(0,(B9-B16-B7*Supuestos!$B$17*0.881/Supuestos!$B$7)*Supuestos!$B$36)</f>
        <v/>
      </c>
      <c r="D20" s="8">
        <f>MAX(0,(C9-C16-C7*Supuestos!$B$17*0.881/Supuestos!$B$7)*Supuestos!$B$36)</f>
        <v/>
      </c>
      <c r="E20" s="8">
        <f>MAX(0,(D9-D16-D7*Supuestos!$B$17*0.881/Supuestos!$B$7)*Supuestos!$B$36)</f>
        <v/>
      </c>
      <c r="F20" s="8">
        <f>MAX(0,(E9-E16-E7*Supuestos!$B$17*0.881/Supuestos!$B$7)*Supuestos!$B$36)</f>
        <v/>
      </c>
      <c r="G20" s="8">
        <f>MAX(0,(F9-F16-F7*Supuestos!$B$17*0.881/Supuestos!$B$7)*Supuestos!$B$36)</f>
        <v/>
      </c>
      <c r="H20" s="8">
        <f>MAX(0,(G9-G16-G7*Supuestos!$B$17*0.881/Supuestos!$B$7)*Supuestos!$B$36)</f>
        <v/>
      </c>
      <c r="I20" s="8">
        <f>MAX(0,(H9-H16-H7*Supuestos!$B$17*0.881/Supuestos!$B$7)*Supuestos!$B$36)</f>
        <v/>
      </c>
      <c r="J20" s="8">
        <f>MAX(0,(I9-I16-I7*Supuestos!$B$17*0.881/Supuestos!$B$7)*Supuestos!$B$36)</f>
        <v/>
      </c>
      <c r="K20" s="8">
        <f>MAX(0,(J9-J16-J7*Supuestos!$B$17*0.881/Supuestos!$B$7)*Supuestos!$B$36)</f>
        <v/>
      </c>
      <c r="L20" s="8">
        <f>MAX(0,(K9-K16-K7*Supuestos!$B$17*0.881/Supuestos!$B$7)*Supuestos!$B$36)</f>
        <v/>
      </c>
      <c r="M20" s="8">
        <f>MAX(0,(L9-L16-L7*Supuestos!$B$17*0.881/Supuestos!$B$7)*Supuestos!$B$36)</f>
        <v/>
      </c>
      <c r="N20" s="8">
        <f>MAX(0,(M9-M16-M7*Supuestos!$B$17*0.881/Supuestos!$B$7)*Supuestos!$B$36)</f>
        <v/>
      </c>
      <c r="O20" s="8">
        <f>MAX(0,(N9-N16-N7*Supuestos!$B$17*0.881/Supuestos!$B$7)*Supuestos!$B$36)</f>
        <v/>
      </c>
      <c r="P20" s="8">
        <f>MAX(0,(O9-O16-O7*Supuestos!$B$17*0.881/Supuestos!$B$7)*Supuestos!$B$36)</f>
        <v/>
      </c>
      <c r="Q20" s="8">
        <f>MAX(0,(P9-P16-P7*Supuestos!$B$17*0.881/Supuestos!$B$7)*Supuestos!$B$36)</f>
        <v/>
      </c>
    </row>
    <row r="22">
      <c r="A22" s="20" t="inlineStr">
        <is>
          <t>FLUJO DE CAJA DEL PERÍODO</t>
        </is>
      </c>
      <c r="B22" s="21">
        <f>B10-B16-B18-B20</f>
        <v/>
      </c>
      <c r="C22" s="21">
        <f>C10-C16-C18-C20</f>
        <v/>
      </c>
      <c r="D22" s="21">
        <f>D10-D16-D18-D20</f>
        <v/>
      </c>
      <c r="E22" s="21">
        <f>E10-E16-E18-E20</f>
        <v/>
      </c>
      <c r="F22" s="21">
        <f>F10-F16-F18-F20</f>
        <v/>
      </c>
      <c r="G22" s="21">
        <f>G10-G16-G18-G20</f>
        <v/>
      </c>
      <c r="H22" s="21">
        <f>H10-H16-H18-H20</f>
        <v/>
      </c>
      <c r="I22" s="21">
        <f>I10-I16-I18-I20</f>
        <v/>
      </c>
      <c r="J22" s="21">
        <f>J10-J16-J18-J20</f>
        <v/>
      </c>
      <c r="K22" s="21">
        <f>K10-K16-K18-K20</f>
        <v/>
      </c>
      <c r="L22" s="21">
        <f>L10-L16-L18-L20</f>
        <v/>
      </c>
      <c r="M22" s="21">
        <f>M10-M16-M18-M20</f>
        <v/>
      </c>
      <c r="N22" s="21">
        <f>N10-N16-N18-N20</f>
        <v/>
      </c>
      <c r="O22" s="21">
        <f>O10-O16-O18-O20</f>
        <v/>
      </c>
      <c r="P22" s="21">
        <f>P10-P16-P18-P20</f>
        <v/>
      </c>
      <c r="Q22" s="21">
        <f>Q10-Q16-Q18-Q20</f>
        <v/>
      </c>
    </row>
    <row r="23">
      <c r="A23" s="16" t="inlineStr">
        <is>
          <t>Flujo acumulado</t>
        </is>
      </c>
      <c r="B23" s="8">
        <f>B22</f>
        <v/>
      </c>
      <c r="C23" s="8">
        <f>B23+C22</f>
        <v/>
      </c>
      <c r="D23" s="8">
        <f>C23+D22</f>
        <v/>
      </c>
      <c r="E23" s="8">
        <f>D23+E22</f>
        <v/>
      </c>
      <c r="F23" s="8">
        <f>E23+F22</f>
        <v/>
      </c>
      <c r="G23" s="8">
        <f>F23+G22</f>
        <v/>
      </c>
      <c r="H23" s="8">
        <f>G23+H22</f>
        <v/>
      </c>
      <c r="I23" s="8">
        <f>H23+I22</f>
        <v/>
      </c>
      <c r="J23" s="8">
        <f>I23+J22</f>
        <v/>
      </c>
      <c r="K23" s="8">
        <f>J23+K22</f>
        <v/>
      </c>
      <c r="L23" s="8">
        <f>K23+L22</f>
        <v/>
      </c>
      <c r="M23" s="8">
        <f>L23+M22</f>
        <v/>
      </c>
      <c r="N23" s="8">
        <f>M23+N22</f>
        <v/>
      </c>
      <c r="O23" s="8">
        <f>N23+O22</f>
        <v/>
      </c>
      <c r="P23" s="8">
        <f>O23+P22</f>
        <v/>
      </c>
      <c r="Q23" s="8">
        <f>P23+Q22</f>
        <v/>
      </c>
    </row>
    <row r="25">
      <c r="A25" s="3" t="inlineStr">
        <is>
          <t>INDICADORES</t>
        </is>
      </c>
    </row>
    <row r="26">
      <c r="A26" s="16" t="inlineStr">
        <is>
          <t>Ingresos totales</t>
        </is>
      </c>
      <c r="B26" s="21">
        <f>SUM(B9:Q9)</f>
        <v/>
      </c>
    </row>
    <row r="27">
      <c r="A27" s="16" t="inlineStr">
        <is>
          <t>Costos totales (con terreno)</t>
        </is>
      </c>
      <c r="B27" s="21">
        <f>SUM(B16:Q16)+Supuestos!$B$17*0.881</f>
        <v/>
      </c>
    </row>
    <row r="28">
      <c r="A28" s="16" t="inlineStr">
        <is>
          <t>Utilidad antes de impuesto</t>
        </is>
      </c>
      <c r="B28" s="21">
        <f>B26-B27</f>
        <v/>
      </c>
    </row>
    <row r="29">
      <c r="A29" s="16" t="inlineStr">
        <is>
          <t>Margen bruto</t>
        </is>
      </c>
      <c r="B29" s="22">
        <f>B28/B26</f>
        <v/>
      </c>
    </row>
    <row r="30">
      <c r="A30" s="16" t="inlineStr">
        <is>
          <t>Impuesto</t>
        </is>
      </c>
      <c r="B30" s="21">
        <f>B28*Supuestos!$B$36</f>
        <v/>
      </c>
    </row>
    <row r="31">
      <c r="A31" s="16" t="inlineStr">
        <is>
          <t>Utilidad neta</t>
        </is>
      </c>
      <c r="B31" s="21">
        <f>B28-B30</f>
        <v/>
      </c>
    </row>
    <row r="32">
      <c r="A32" s="16" t="inlineStr">
        <is>
          <t>Margen neto</t>
        </is>
      </c>
      <c r="B32" s="22">
        <f>B31/B26</f>
        <v/>
      </c>
    </row>
    <row r="33">
      <c r="A33" s="16" t="inlineStr">
        <is>
          <t>Capital máximo expuesto</t>
        </is>
      </c>
      <c r="B33" s="21">
        <f>-MIN(B23:Q23,0)</f>
        <v/>
      </c>
    </row>
    <row r="34">
      <c r="A34" s="16" t="inlineStr">
        <is>
          <t>TIR del proyecto</t>
        </is>
      </c>
      <c r="B34" s="22">
        <f>IRR(B22:Q22)</f>
        <v/>
      </c>
    </row>
    <row r="35">
      <c r="A35" s="16" t="inlineStr">
        <is>
          <t>VAN a la tasa de descuento</t>
        </is>
      </c>
      <c r="B35" s="21">
        <f>NPV(Supuestos!$B$37,C22:Q22)+B22</f>
        <v/>
      </c>
    </row>
    <row r="36">
      <c r="A36" s="16" t="inlineStr">
        <is>
          <t>Precio promedio logrado (UF/m²)</t>
        </is>
      </c>
      <c r="B36" s="23">
        <f>B26/Supuestos!$B$6</f>
        <v/>
      </c>
    </row>
    <row r="37">
      <c r="A37" s="16" t="inlineStr">
        <is>
          <t>Saldo impago al vencer el plazo</t>
        </is>
      </c>
      <c r="B37" s="21">
        <f>INDEX(B19:Q19,Supuestos!$B$20+1)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FLUJO DE CAJA — ESCENARIO BASE</t>
        </is>
      </c>
    </row>
    <row r="2">
      <c r="A2" s="2" t="inlineStr">
        <is>
          <t>Todos los valores en UF. Cambiar supuestos en la hoja 'Supuestos'.</t>
        </is>
      </c>
    </row>
    <row r="4">
      <c r="A4" s="4" t="inlineStr">
        <is>
          <t>Concepto</t>
        </is>
      </c>
      <c r="B4" s="5" t="inlineStr">
        <is>
          <t>Año 0</t>
        </is>
      </c>
      <c r="C4" s="5" t="inlineStr">
        <is>
          <t>Año 1</t>
        </is>
      </c>
      <c r="D4" s="5" t="inlineStr">
        <is>
          <t>Año 2</t>
        </is>
      </c>
      <c r="E4" s="5" t="inlineStr">
        <is>
          <t>Año 3</t>
        </is>
      </c>
      <c r="F4" s="5" t="inlineStr">
        <is>
          <t>Año 4</t>
        </is>
      </c>
      <c r="G4" s="5" t="inlineStr">
        <is>
          <t>Año 5</t>
        </is>
      </c>
      <c r="H4" s="5" t="inlineStr">
        <is>
          <t>Año 6</t>
        </is>
      </c>
      <c r="I4" s="5" t="inlineStr">
        <is>
          <t>Año 7</t>
        </is>
      </c>
      <c r="J4" s="5" t="inlineStr">
        <is>
          <t>Año 8</t>
        </is>
      </c>
      <c r="K4" s="5" t="inlineStr">
        <is>
          <t>Año 9</t>
        </is>
      </c>
      <c r="L4" s="5" t="inlineStr">
        <is>
          <t>Año 10</t>
        </is>
      </c>
      <c r="M4" s="5" t="inlineStr">
        <is>
          <t>Año 11</t>
        </is>
      </c>
      <c r="N4" s="5" t="inlineStr">
        <is>
          <t>Año 12</t>
        </is>
      </c>
      <c r="O4" s="5" t="inlineStr">
        <is>
          <t>Año 13</t>
        </is>
      </c>
      <c r="P4" s="5" t="inlineStr">
        <is>
          <t>Año 14</t>
        </is>
      </c>
      <c r="Q4" s="5" t="inlineStr">
        <is>
          <t>Año 15</t>
        </is>
      </c>
    </row>
    <row r="5">
      <c r="A5" s="16" t="inlineStr">
        <is>
          <t>Año</t>
        </is>
      </c>
      <c r="B5" s="16" t="n">
        <v>0</v>
      </c>
      <c r="C5" s="16" t="n">
        <v>1</v>
      </c>
      <c r="D5" s="16" t="n">
        <v>2</v>
      </c>
      <c r="E5" s="16" t="n">
        <v>3</v>
      </c>
      <c r="F5" s="16" t="n">
        <v>4</v>
      </c>
      <c r="G5" s="16" t="n">
        <v>5</v>
      </c>
      <c r="H5" s="16" t="n">
        <v>6</v>
      </c>
      <c r="I5" s="16" t="n">
        <v>7</v>
      </c>
      <c r="J5" s="16" t="n">
        <v>8</v>
      </c>
      <c r="K5" s="16" t="n">
        <v>9</v>
      </c>
      <c r="L5" s="16" t="n">
        <v>10</v>
      </c>
      <c r="M5" s="16" t="n">
        <v>11</v>
      </c>
      <c r="N5" s="16" t="n">
        <v>12</v>
      </c>
      <c r="O5" s="16" t="n">
        <v>13</v>
      </c>
      <c r="P5" s="16" t="n">
        <v>14</v>
      </c>
      <c r="Q5" s="16" t="n">
        <v>15</v>
      </c>
    </row>
    <row r="6">
      <c r="A6" t="inlineStr">
        <is>
          <t>Sitios vendidos acumulados (previo)</t>
        </is>
      </c>
      <c r="B6" s="8">
        <f>0</f>
        <v/>
      </c>
      <c r="C6" s="8">
        <f>B6+B7</f>
        <v/>
      </c>
      <c r="D6" s="8">
        <f>C6+C7</f>
        <v/>
      </c>
      <c r="E6" s="8">
        <f>D6+D7</f>
        <v/>
      </c>
      <c r="F6" s="8">
        <f>E6+E7</f>
        <v/>
      </c>
      <c r="G6" s="8">
        <f>F6+F7</f>
        <v/>
      </c>
      <c r="H6" s="8">
        <f>G6+G7</f>
        <v/>
      </c>
      <c r="I6" s="8">
        <f>H6+H7</f>
        <v/>
      </c>
      <c r="J6" s="8">
        <f>I6+I7</f>
        <v/>
      </c>
      <c r="K6" s="8">
        <f>J6+J7</f>
        <v/>
      </c>
      <c r="L6" s="8">
        <f>K6+K7</f>
        <v/>
      </c>
      <c r="M6" s="8">
        <f>L6+L7</f>
        <v/>
      </c>
      <c r="N6" s="8">
        <f>M6+M7</f>
        <v/>
      </c>
      <c r="O6" s="8">
        <f>N6+N7</f>
        <v/>
      </c>
      <c r="P6" s="8">
        <f>O6+O7</f>
        <v/>
      </c>
      <c r="Q6" s="8">
        <f>P6+P7</f>
        <v/>
      </c>
    </row>
    <row r="7">
      <c r="A7" s="16" t="inlineStr">
        <is>
          <t>Sitios vendidos en el año</t>
        </is>
      </c>
      <c r="B7" s="8">
        <f>IF(0&lt;Supuestos!$C$26,0,MIN(Supuestos!$C$25,Supuestos!$B$7-B6))</f>
        <v/>
      </c>
      <c r="C7" s="8">
        <f>IF(1&lt;Supuestos!$C$26,0,MIN(Supuestos!$C$25,Supuestos!$B$7-C6))</f>
        <v/>
      </c>
      <c r="D7" s="8">
        <f>IF(2&lt;Supuestos!$C$26,0,MIN(Supuestos!$C$25,Supuestos!$B$7-D6))</f>
        <v/>
      </c>
      <c r="E7" s="8">
        <f>IF(3&lt;Supuestos!$C$26,0,MIN(Supuestos!$C$25,Supuestos!$B$7-E6))</f>
        <v/>
      </c>
      <c r="F7" s="8">
        <f>IF(4&lt;Supuestos!$C$26,0,MIN(Supuestos!$C$25,Supuestos!$B$7-F6))</f>
        <v/>
      </c>
      <c r="G7" s="8">
        <f>IF(5&lt;Supuestos!$C$26,0,MIN(Supuestos!$C$25,Supuestos!$B$7-G6))</f>
        <v/>
      </c>
      <c r="H7" s="8">
        <f>IF(6&lt;Supuestos!$C$26,0,MIN(Supuestos!$C$25,Supuestos!$B$7-H6))</f>
        <v/>
      </c>
      <c r="I7" s="8">
        <f>IF(7&lt;Supuestos!$C$26,0,MIN(Supuestos!$C$25,Supuestos!$B$7-I6))</f>
        <v/>
      </c>
      <c r="J7" s="8">
        <f>IF(8&lt;Supuestos!$C$26,0,MIN(Supuestos!$C$25,Supuestos!$B$7-J6))</f>
        <v/>
      </c>
      <c r="K7" s="8">
        <f>IF(9&lt;Supuestos!$C$26,0,MIN(Supuestos!$C$25,Supuestos!$B$7-K6))</f>
        <v/>
      </c>
      <c r="L7" s="8">
        <f>IF(10&lt;Supuestos!$C$26,0,MIN(Supuestos!$C$25,Supuestos!$B$7-L6))</f>
        <v/>
      </c>
      <c r="M7" s="8">
        <f>IF(11&lt;Supuestos!$C$26,0,MIN(Supuestos!$C$25,Supuestos!$B$7-M6))</f>
        <v/>
      </c>
      <c r="N7" s="8">
        <f>IF(12&lt;Supuestos!$C$26,0,MIN(Supuestos!$C$25,Supuestos!$B$7-N6))</f>
        <v/>
      </c>
      <c r="O7" s="8">
        <f>IF(13&lt;Supuestos!$C$26,0,MIN(Supuestos!$C$25,Supuestos!$B$7-O6))</f>
        <v/>
      </c>
      <c r="P7" s="8">
        <f>IF(14&lt;Supuestos!$C$26,0,MIN(Supuestos!$C$25,Supuestos!$B$7-P6))</f>
        <v/>
      </c>
      <c r="Q7" s="8">
        <f>IF(15&lt;Supuestos!$C$26,0,MIN(Supuestos!$C$25,Supuestos!$B$7-Q6))</f>
        <v/>
      </c>
    </row>
    <row r="8">
      <c r="A8" t="inlineStr">
        <is>
          <t>Precio del año (UF/m²)</t>
        </is>
      </c>
      <c r="B8" s="17">
        <f>IF(0&lt;Supuestos!$C$26,0,IF(0-Supuestos!$C$26+1&gt;=Supuestos!$C$29,Supuestos!$C$28,Supuestos!$C$27))</f>
        <v/>
      </c>
      <c r="C8" s="17">
        <f>IF(1&lt;Supuestos!$C$26,0,IF(1-Supuestos!$C$26+1&gt;=Supuestos!$C$29,Supuestos!$C$28,Supuestos!$C$27))</f>
        <v/>
      </c>
      <c r="D8" s="17">
        <f>IF(2&lt;Supuestos!$C$26,0,IF(2-Supuestos!$C$26+1&gt;=Supuestos!$C$29,Supuestos!$C$28,Supuestos!$C$27))</f>
        <v/>
      </c>
      <c r="E8" s="17">
        <f>IF(3&lt;Supuestos!$C$26,0,IF(3-Supuestos!$C$26+1&gt;=Supuestos!$C$29,Supuestos!$C$28,Supuestos!$C$27))</f>
        <v/>
      </c>
      <c r="F8" s="17">
        <f>IF(4&lt;Supuestos!$C$26,0,IF(4-Supuestos!$C$26+1&gt;=Supuestos!$C$29,Supuestos!$C$28,Supuestos!$C$27))</f>
        <v/>
      </c>
      <c r="G8" s="17">
        <f>IF(5&lt;Supuestos!$C$26,0,IF(5-Supuestos!$C$26+1&gt;=Supuestos!$C$29,Supuestos!$C$28,Supuestos!$C$27))</f>
        <v/>
      </c>
      <c r="H8" s="17">
        <f>IF(6&lt;Supuestos!$C$26,0,IF(6-Supuestos!$C$26+1&gt;=Supuestos!$C$29,Supuestos!$C$28,Supuestos!$C$27))</f>
        <v/>
      </c>
      <c r="I8" s="17">
        <f>IF(7&lt;Supuestos!$C$26,0,IF(7-Supuestos!$C$26+1&gt;=Supuestos!$C$29,Supuestos!$C$28,Supuestos!$C$27))</f>
        <v/>
      </c>
      <c r="J8" s="17">
        <f>IF(8&lt;Supuestos!$C$26,0,IF(8-Supuestos!$C$26+1&gt;=Supuestos!$C$29,Supuestos!$C$28,Supuestos!$C$27))</f>
        <v/>
      </c>
      <c r="K8" s="17">
        <f>IF(9&lt;Supuestos!$C$26,0,IF(9-Supuestos!$C$26+1&gt;=Supuestos!$C$29,Supuestos!$C$28,Supuestos!$C$27))</f>
        <v/>
      </c>
      <c r="L8" s="17">
        <f>IF(10&lt;Supuestos!$C$26,0,IF(10-Supuestos!$C$26+1&gt;=Supuestos!$C$29,Supuestos!$C$28,Supuestos!$C$27))</f>
        <v/>
      </c>
      <c r="M8" s="17">
        <f>IF(11&lt;Supuestos!$C$26,0,IF(11-Supuestos!$C$26+1&gt;=Supuestos!$C$29,Supuestos!$C$28,Supuestos!$C$27))</f>
        <v/>
      </c>
      <c r="N8" s="17">
        <f>IF(12&lt;Supuestos!$C$26,0,IF(12-Supuestos!$C$26+1&gt;=Supuestos!$C$29,Supuestos!$C$28,Supuestos!$C$27))</f>
        <v/>
      </c>
      <c r="O8" s="17">
        <f>IF(13&lt;Supuestos!$C$26,0,IF(13-Supuestos!$C$26+1&gt;=Supuestos!$C$29,Supuestos!$C$28,Supuestos!$C$27))</f>
        <v/>
      </c>
      <c r="P8" s="17">
        <f>IF(14&lt;Supuestos!$C$26,0,IF(14-Supuestos!$C$26+1&gt;=Supuestos!$C$29,Supuestos!$C$28,Supuestos!$C$27))</f>
        <v/>
      </c>
      <c r="Q8" s="17">
        <f>IF(15&lt;Supuestos!$C$26,0,IF(15-Supuestos!$C$26+1&gt;=Supuestos!$C$29,Supuestos!$C$28,Supuestos!$C$27))</f>
        <v/>
      </c>
    </row>
    <row r="9">
      <c r="A9" s="16" t="inlineStr">
        <is>
          <t>Ingresos por venta</t>
        </is>
      </c>
      <c r="B9" s="8">
        <f>B7*Supuestos!$B$13*B8</f>
        <v/>
      </c>
      <c r="C9" s="8">
        <f>C7*Supuestos!$B$13*C8</f>
        <v/>
      </c>
      <c r="D9" s="8">
        <f>D7*Supuestos!$B$13*D8</f>
        <v/>
      </c>
      <c r="E9" s="8">
        <f>E7*Supuestos!$B$13*E8</f>
        <v/>
      </c>
      <c r="F9" s="8">
        <f>F7*Supuestos!$B$13*F8</f>
        <v/>
      </c>
      <c r="G9" s="8">
        <f>G7*Supuestos!$B$13*G8</f>
        <v/>
      </c>
      <c r="H9" s="8">
        <f>H7*Supuestos!$B$13*H8</f>
        <v/>
      </c>
      <c r="I9" s="8">
        <f>I7*Supuestos!$B$13*I8</f>
        <v/>
      </c>
      <c r="J9" s="8">
        <f>J7*Supuestos!$B$13*J8</f>
        <v/>
      </c>
      <c r="K9" s="8">
        <f>K7*Supuestos!$B$13*K8</f>
        <v/>
      </c>
      <c r="L9" s="8">
        <f>L7*Supuestos!$B$13*L8</f>
        <v/>
      </c>
      <c r="M9" s="8">
        <f>M7*Supuestos!$B$13*M8</f>
        <v/>
      </c>
      <c r="N9" s="8">
        <f>N7*Supuestos!$B$13*N8</f>
        <v/>
      </c>
      <c r="O9" s="8">
        <f>O7*Supuestos!$B$13*O8</f>
        <v/>
      </c>
      <c r="P9" s="8">
        <f>P7*Supuestos!$B$13*P8</f>
        <v/>
      </c>
      <c r="Q9" s="8">
        <f>Q7*Supuestos!$B$13*Q8</f>
        <v/>
      </c>
    </row>
    <row r="10">
      <c r="A10" t="inlineStr">
        <is>
          <t>Caja por ventas (20% anticipado)</t>
        </is>
      </c>
      <c r="B10" s="8">
        <f>B9*(1-Supuestos!$C$38)+C9*Supuestos!$C$38</f>
        <v/>
      </c>
      <c r="C10" s="8">
        <f>C9*(1-Supuestos!$C$38)+D9*Supuestos!$C$38</f>
        <v/>
      </c>
      <c r="D10" s="8">
        <f>D9*(1-Supuestos!$C$38)+E9*Supuestos!$C$38</f>
        <v/>
      </c>
      <c r="E10" s="8">
        <f>E9*(1-Supuestos!$C$38)+F9*Supuestos!$C$38</f>
        <v/>
      </c>
      <c r="F10" s="8">
        <f>F9*(1-Supuestos!$C$38)+G9*Supuestos!$C$38</f>
        <v/>
      </c>
      <c r="G10" s="8">
        <f>G9*(1-Supuestos!$C$38)+H9*Supuestos!$C$38</f>
        <v/>
      </c>
      <c r="H10" s="8">
        <f>H9*(1-Supuestos!$C$38)+I9*Supuestos!$C$38</f>
        <v/>
      </c>
      <c r="I10" s="8">
        <f>I9*(1-Supuestos!$C$38)+J9*Supuestos!$C$38</f>
        <v/>
      </c>
      <c r="J10" s="8">
        <f>J9*(1-Supuestos!$C$38)+K9*Supuestos!$C$38</f>
        <v/>
      </c>
      <c r="K10" s="8">
        <f>K9*(1-Supuestos!$C$38)+L9*Supuestos!$C$38</f>
        <v/>
      </c>
      <c r="L10" s="8">
        <f>L9*(1-Supuestos!$C$38)+M9*Supuestos!$C$38</f>
        <v/>
      </c>
      <c r="M10" s="8">
        <f>M9*(1-Supuestos!$C$38)+N9*Supuestos!$C$38</f>
        <v/>
      </c>
      <c r="N10" s="8">
        <f>N9*(1-Supuestos!$C$38)+O9*Supuestos!$C$38</f>
        <v/>
      </c>
      <c r="O10" s="8">
        <f>O9*(1-Supuestos!$C$38)+P9*Supuestos!$C$38</f>
        <v/>
      </c>
      <c r="P10" s="8">
        <f>P9*(1-Supuestos!$C$38)+Q9*Supuestos!$C$38</f>
        <v/>
      </c>
      <c r="Q10" s="8">
        <f>Q9*(1-Supuestos!$C$38)</f>
        <v/>
      </c>
    </row>
    <row r="12">
      <c r="A12" t="inlineStr">
        <is>
          <t>Urbanización (4 macro-etapas)</t>
        </is>
      </c>
      <c r="B12" s="8">
        <f>Supuestos!$C$30*(IF(0=Supuestos!$C$26-1,0.3,0)+IF(0=Supuestos!$C$26,0.25,0)+IF(0=Supuestos!$C$26+2,0.25,0)+IF(0=Supuestos!$C$26+4,0.2,0))</f>
        <v/>
      </c>
      <c r="C12" s="8">
        <f>Supuestos!$C$30*(IF(1=Supuestos!$C$26-1,0.3,0)+IF(1=Supuestos!$C$26,0.25,0)+IF(1=Supuestos!$C$26+2,0.25,0)+IF(1=Supuestos!$C$26+4,0.2,0))</f>
        <v/>
      </c>
      <c r="D12" s="8">
        <f>Supuestos!$C$30*(IF(2=Supuestos!$C$26-1,0.3,0)+IF(2=Supuestos!$C$26,0.25,0)+IF(2=Supuestos!$C$26+2,0.25,0)+IF(2=Supuestos!$C$26+4,0.2,0))</f>
        <v/>
      </c>
      <c r="E12" s="8">
        <f>Supuestos!$C$30*(IF(3=Supuestos!$C$26-1,0.3,0)+IF(3=Supuestos!$C$26,0.25,0)+IF(3=Supuestos!$C$26+2,0.25,0)+IF(3=Supuestos!$C$26+4,0.2,0))</f>
        <v/>
      </c>
      <c r="F12" s="8">
        <f>Supuestos!$C$30*(IF(4=Supuestos!$C$26-1,0.3,0)+IF(4=Supuestos!$C$26,0.25,0)+IF(4=Supuestos!$C$26+2,0.25,0)+IF(4=Supuestos!$C$26+4,0.2,0))</f>
        <v/>
      </c>
      <c r="G12" s="8">
        <f>Supuestos!$C$30*(IF(5=Supuestos!$C$26-1,0.3,0)+IF(5=Supuestos!$C$26,0.25,0)+IF(5=Supuestos!$C$26+2,0.25,0)+IF(5=Supuestos!$C$26+4,0.2,0))</f>
        <v/>
      </c>
      <c r="H12" s="8">
        <f>Supuestos!$C$30*(IF(6=Supuestos!$C$26-1,0.3,0)+IF(6=Supuestos!$C$26,0.25,0)+IF(6=Supuestos!$C$26+2,0.25,0)+IF(6=Supuestos!$C$26+4,0.2,0))</f>
        <v/>
      </c>
      <c r="I12" s="8">
        <f>Supuestos!$C$30*(IF(7=Supuestos!$C$26-1,0.3,0)+IF(7=Supuestos!$C$26,0.25,0)+IF(7=Supuestos!$C$26+2,0.25,0)+IF(7=Supuestos!$C$26+4,0.2,0))</f>
        <v/>
      </c>
      <c r="J12" s="8">
        <f>Supuestos!$C$30*(IF(8=Supuestos!$C$26-1,0.3,0)+IF(8=Supuestos!$C$26,0.25,0)+IF(8=Supuestos!$C$26+2,0.25,0)+IF(8=Supuestos!$C$26+4,0.2,0))</f>
        <v/>
      </c>
      <c r="K12" s="8">
        <f>Supuestos!$C$30*(IF(9=Supuestos!$C$26-1,0.3,0)+IF(9=Supuestos!$C$26,0.25,0)+IF(9=Supuestos!$C$26+2,0.25,0)+IF(9=Supuestos!$C$26+4,0.2,0))</f>
        <v/>
      </c>
      <c r="L12" s="8">
        <f>Supuestos!$C$30*(IF(10=Supuestos!$C$26-1,0.3,0)+IF(10=Supuestos!$C$26,0.25,0)+IF(10=Supuestos!$C$26+2,0.25,0)+IF(10=Supuestos!$C$26+4,0.2,0))</f>
        <v/>
      </c>
      <c r="M12" s="8">
        <f>Supuestos!$C$30*(IF(11=Supuestos!$C$26-1,0.3,0)+IF(11=Supuestos!$C$26,0.25,0)+IF(11=Supuestos!$C$26+2,0.25,0)+IF(11=Supuestos!$C$26+4,0.2,0))</f>
        <v/>
      </c>
      <c r="N12" s="8">
        <f>Supuestos!$C$30*(IF(12=Supuestos!$C$26-1,0.3,0)+IF(12=Supuestos!$C$26,0.25,0)+IF(12=Supuestos!$C$26+2,0.25,0)+IF(12=Supuestos!$C$26+4,0.2,0))</f>
        <v/>
      </c>
      <c r="O12" s="8">
        <f>Supuestos!$C$30*(IF(13=Supuestos!$C$26-1,0.3,0)+IF(13=Supuestos!$C$26,0.25,0)+IF(13=Supuestos!$C$26+2,0.25,0)+IF(13=Supuestos!$C$26+4,0.2,0))</f>
        <v/>
      </c>
      <c r="P12" s="8">
        <f>Supuestos!$C$30*(IF(14=Supuestos!$C$26-1,0.3,0)+IF(14=Supuestos!$C$26,0.25,0)+IF(14=Supuestos!$C$26+2,0.25,0)+IF(14=Supuestos!$C$26+4,0.2,0))</f>
        <v/>
      </c>
      <c r="Q12" s="8">
        <f>Supuestos!$C$30*(IF(15=Supuestos!$C$26-1,0.3,0)+IF(15=Supuestos!$C$26,0.25,0)+IF(15=Supuestos!$C$26+2,0.25,0)+IF(15=Supuestos!$C$26+4,0.2,0))</f>
        <v/>
      </c>
    </row>
    <row r="13">
      <c r="A13" t="inlineStr">
        <is>
          <t>Proyectos, permisos y especialidades</t>
        </is>
      </c>
      <c r="B13" s="8">
        <f>Supuestos!$C$33</f>
        <v/>
      </c>
      <c r="C13" s="8">
        <f>Supuestos!$C$34</f>
        <v/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</row>
    <row r="14">
      <c r="A14" t="inlineStr">
        <is>
          <t>Gasto comercial</t>
        </is>
      </c>
      <c r="B14" s="8">
        <f>B9*Supuestos!$C$31</f>
        <v/>
      </c>
      <c r="C14" s="8">
        <f>C9*Supuestos!$C$31</f>
        <v/>
      </c>
      <c r="D14" s="8">
        <f>D9*Supuestos!$C$31</f>
        <v/>
      </c>
      <c r="E14" s="8">
        <f>E9*Supuestos!$C$31</f>
        <v/>
      </c>
      <c r="F14" s="8">
        <f>F9*Supuestos!$C$31</f>
        <v/>
      </c>
      <c r="G14" s="8">
        <f>G9*Supuestos!$C$31</f>
        <v/>
      </c>
      <c r="H14" s="8">
        <f>H9*Supuestos!$C$31</f>
        <v/>
      </c>
      <c r="I14" s="8">
        <f>I9*Supuestos!$C$31</f>
        <v/>
      </c>
      <c r="J14" s="8">
        <f>J9*Supuestos!$C$31</f>
        <v/>
      </c>
      <c r="K14" s="8">
        <f>K9*Supuestos!$C$31</f>
        <v/>
      </c>
      <c r="L14" s="8">
        <f>L9*Supuestos!$C$31</f>
        <v/>
      </c>
      <c r="M14" s="8">
        <f>M9*Supuestos!$C$31</f>
        <v/>
      </c>
      <c r="N14" s="8">
        <f>N9*Supuestos!$C$31</f>
        <v/>
      </c>
      <c r="O14" s="8">
        <f>O9*Supuestos!$C$31</f>
        <v/>
      </c>
      <c r="P14" s="8">
        <f>P9*Supuestos!$C$31</f>
        <v/>
      </c>
      <c r="Q14" s="8">
        <f>Q9*Supuestos!$C$31</f>
        <v/>
      </c>
    </row>
    <row r="15">
      <c r="A15" t="inlineStr">
        <is>
          <t>Administración y contribuciones</t>
        </is>
      </c>
      <c r="B15" s="8">
        <f>IF(OR(B7&gt;0,0&lt;Supuestos!$C$26),Supuestos!$C$32+Supuestos!$C$35,0)</f>
        <v/>
      </c>
      <c r="C15" s="8">
        <f>IF(OR(C7&gt;0,1&lt;Supuestos!$C$26),Supuestos!$C$32+Supuestos!$C$35,0)</f>
        <v/>
      </c>
      <c r="D15" s="8">
        <f>IF(OR(D7&gt;0,2&lt;Supuestos!$C$26),Supuestos!$C$32+Supuestos!$C$35,0)</f>
        <v/>
      </c>
      <c r="E15" s="8">
        <f>IF(OR(E7&gt;0,3&lt;Supuestos!$C$26),Supuestos!$C$32+Supuestos!$C$35,0)</f>
        <v/>
      </c>
      <c r="F15" s="8">
        <f>IF(OR(F7&gt;0,4&lt;Supuestos!$C$26),Supuestos!$C$32+Supuestos!$C$35,0)</f>
        <v/>
      </c>
      <c r="G15" s="8">
        <f>IF(OR(G7&gt;0,5&lt;Supuestos!$C$26),Supuestos!$C$32+Supuestos!$C$35,0)</f>
        <v/>
      </c>
      <c r="H15" s="8">
        <f>IF(OR(H7&gt;0,6&lt;Supuestos!$C$26),Supuestos!$C$32+Supuestos!$C$35,0)</f>
        <v/>
      </c>
      <c r="I15" s="8">
        <f>IF(OR(I7&gt;0,7&lt;Supuestos!$C$26),Supuestos!$C$32+Supuestos!$C$35,0)</f>
        <v/>
      </c>
      <c r="J15" s="8">
        <f>IF(OR(J7&gt;0,8&lt;Supuestos!$C$26),Supuestos!$C$32+Supuestos!$C$35,0)</f>
        <v/>
      </c>
      <c r="K15" s="8">
        <f>IF(OR(K7&gt;0,9&lt;Supuestos!$C$26),Supuestos!$C$32+Supuestos!$C$35,0)</f>
        <v/>
      </c>
      <c r="L15" s="8">
        <f>IF(OR(L7&gt;0,10&lt;Supuestos!$C$26),Supuestos!$C$32+Supuestos!$C$35,0)</f>
        <v/>
      </c>
      <c r="M15" s="8">
        <f>IF(OR(M7&gt;0,11&lt;Supuestos!$C$26),Supuestos!$C$32+Supuestos!$C$35,0)</f>
        <v/>
      </c>
      <c r="N15" s="8">
        <f>IF(OR(N7&gt;0,12&lt;Supuestos!$C$26),Supuestos!$C$32+Supuestos!$C$35,0)</f>
        <v/>
      </c>
      <c r="O15" s="8">
        <f>IF(OR(O7&gt;0,13&lt;Supuestos!$C$26),Supuestos!$C$32+Supuestos!$C$35,0)</f>
        <v/>
      </c>
      <c r="P15" s="8">
        <f>IF(OR(P7&gt;0,14&lt;Supuestos!$C$26),Supuestos!$C$32+Supuestos!$C$35,0)</f>
        <v/>
      </c>
      <c r="Q15" s="8">
        <f>IF(OR(Q7&gt;0,15&lt;Supuestos!$C$26),Supuestos!$C$32+Supuestos!$C$35,0)</f>
        <v/>
      </c>
    </row>
    <row r="16">
      <c r="A16" s="18" t="inlineStr">
        <is>
          <t>Total egresos operacionales</t>
        </is>
      </c>
      <c r="B16" s="19">
        <f>B12+B13+B14+B15</f>
        <v/>
      </c>
      <c r="C16" s="19">
        <f>C12+C13+C14+C15</f>
        <v/>
      </c>
      <c r="D16" s="19">
        <f>D12+D13+D14+D15</f>
        <v/>
      </c>
      <c r="E16" s="19">
        <f>E12+E13+E14+E15</f>
        <v/>
      </c>
      <c r="F16" s="19">
        <f>F12+F13+F14+F15</f>
        <v/>
      </c>
      <c r="G16" s="19">
        <f>G12+G13+G14+G15</f>
        <v/>
      </c>
      <c r="H16" s="19">
        <f>H12+H13+H14+H15</f>
        <v/>
      </c>
      <c r="I16" s="19">
        <f>I12+I13+I14+I15</f>
        <v/>
      </c>
      <c r="J16" s="19">
        <f>J12+J13+J14+J15</f>
        <v/>
      </c>
      <c r="K16" s="19">
        <f>K12+K13+K14+K15</f>
        <v/>
      </c>
      <c r="L16" s="19">
        <f>L12+L13+L14+L15</f>
        <v/>
      </c>
      <c r="M16" s="19">
        <f>M12+M13+M14+M15</f>
        <v/>
      </c>
      <c r="N16" s="19">
        <f>N12+N13+N14+N15</f>
        <v/>
      </c>
      <c r="O16" s="19">
        <f>O12+O13+O14+O15</f>
        <v/>
      </c>
      <c r="P16" s="19">
        <f>P12+P13+P14+P15</f>
        <v/>
      </c>
      <c r="Q16" s="19">
        <f>Q12+Q13+Q14+Q15</f>
        <v/>
      </c>
    </row>
    <row r="18">
      <c r="A18" s="16" t="inlineStr">
        <is>
          <t>Pago del terreno</t>
        </is>
      </c>
      <c r="B18" s="8">
        <f>Supuestos!$B$18</f>
        <v/>
      </c>
      <c r="C18" s="8">
        <f>IF(1&gt;=Supuestos!$B$20,MAX(0,Supuestos!$B$17-SUM($B18:B18)),MIN(C10*Supuestos!$B$19,MAX(0,Supuestos!$B$17-SUM($B18:B18))))</f>
        <v/>
      </c>
      <c r="D18" s="8">
        <f>IF(2&gt;=Supuestos!$B$20,MAX(0,Supuestos!$B$17-SUM($B18:C18)),MIN(D10*Supuestos!$B$19,MAX(0,Supuestos!$B$17-SUM($B18:C18))))</f>
        <v/>
      </c>
      <c r="E18" s="8">
        <f>IF(3&gt;=Supuestos!$B$20,MAX(0,Supuestos!$B$17-SUM($B18:D18)),MIN(E10*Supuestos!$B$19,MAX(0,Supuestos!$B$17-SUM($B18:D18))))</f>
        <v/>
      </c>
      <c r="F18" s="8">
        <f>IF(4&gt;=Supuestos!$B$20,MAX(0,Supuestos!$B$17-SUM($B18:E18)),MIN(F10*Supuestos!$B$19,MAX(0,Supuestos!$B$17-SUM($B18:E18))))</f>
        <v/>
      </c>
      <c r="G18" s="8">
        <f>IF(5&gt;=Supuestos!$B$20,MAX(0,Supuestos!$B$17-SUM($B18:F18)),MIN(G10*Supuestos!$B$19,MAX(0,Supuestos!$B$17-SUM($B18:F18))))</f>
        <v/>
      </c>
      <c r="H18" s="8">
        <f>IF(6&gt;=Supuestos!$B$20,MAX(0,Supuestos!$B$17-SUM($B18:G18)),MIN(H10*Supuestos!$B$19,MAX(0,Supuestos!$B$17-SUM($B18:G18))))</f>
        <v/>
      </c>
      <c r="I18" s="8">
        <f>IF(7&gt;=Supuestos!$B$20,MAX(0,Supuestos!$B$17-SUM($B18:H18)),MIN(I10*Supuestos!$B$19,MAX(0,Supuestos!$B$17-SUM($B18:H18))))</f>
        <v/>
      </c>
      <c r="J18" s="8">
        <f>IF(8&gt;=Supuestos!$B$20,MAX(0,Supuestos!$B$17-SUM($B18:I18)),MIN(J10*Supuestos!$B$19,MAX(0,Supuestos!$B$17-SUM($B18:I18))))</f>
        <v/>
      </c>
      <c r="K18" s="8">
        <f>IF(9&gt;=Supuestos!$B$20,MAX(0,Supuestos!$B$17-SUM($B18:J18)),MIN(K10*Supuestos!$B$19,MAX(0,Supuestos!$B$17-SUM($B18:J18))))</f>
        <v/>
      </c>
      <c r="L18" s="8">
        <f>IF(10&gt;=Supuestos!$B$20,MAX(0,Supuestos!$B$17-SUM($B18:K18)),MIN(L10*Supuestos!$B$19,MAX(0,Supuestos!$B$17-SUM($B18:K18))))</f>
        <v/>
      </c>
      <c r="M18" s="8">
        <f>IF(11&gt;=Supuestos!$B$20,MAX(0,Supuestos!$B$17-SUM($B18:L18)),MIN(M10*Supuestos!$B$19,MAX(0,Supuestos!$B$17-SUM($B18:L18))))</f>
        <v/>
      </c>
      <c r="N18" s="8">
        <f>IF(12&gt;=Supuestos!$B$20,MAX(0,Supuestos!$B$17-SUM($B18:M18)),MIN(N10*Supuestos!$B$19,MAX(0,Supuestos!$B$17-SUM($B18:M18))))</f>
        <v/>
      </c>
      <c r="O18" s="8">
        <f>IF(13&gt;=Supuestos!$B$20,MAX(0,Supuestos!$B$17-SUM($B18:N18)),MIN(O10*Supuestos!$B$19,MAX(0,Supuestos!$B$17-SUM($B18:N18))))</f>
        <v/>
      </c>
      <c r="P18" s="8">
        <f>IF(14&gt;=Supuestos!$B$20,MAX(0,Supuestos!$B$17-SUM($B18:O18)),MIN(P10*Supuestos!$B$19,MAX(0,Supuestos!$B$17-SUM($B18:O18))))</f>
        <v/>
      </c>
      <c r="Q18" s="8">
        <f>IF(15&gt;=Supuestos!$B$20,MAX(0,Supuestos!$B$17-SUM($B18:P18)),MIN(Q10*Supuestos!$B$19,MAX(0,Supuestos!$B$17-SUM($B18:P18))))</f>
        <v/>
      </c>
    </row>
    <row r="19">
      <c r="A19" t="inlineStr">
        <is>
          <t>Saldo del terreno pendiente</t>
        </is>
      </c>
      <c r="B19" s="8">
        <f>MAX(0,Supuestos!$B$17-SUM($B18:B18))</f>
        <v/>
      </c>
      <c r="C19" s="8">
        <f>MAX(0,Supuestos!$B$17-SUM($B18:C18))</f>
        <v/>
      </c>
      <c r="D19" s="8">
        <f>MAX(0,Supuestos!$B$17-SUM($B18:D18))</f>
        <v/>
      </c>
      <c r="E19" s="8">
        <f>MAX(0,Supuestos!$B$17-SUM($B18:E18))</f>
        <v/>
      </c>
      <c r="F19" s="8">
        <f>MAX(0,Supuestos!$B$17-SUM($B18:F18))</f>
        <v/>
      </c>
      <c r="G19" s="8">
        <f>MAX(0,Supuestos!$B$17-SUM($B18:G18))</f>
        <v/>
      </c>
      <c r="H19" s="8">
        <f>MAX(0,Supuestos!$B$17-SUM($B18:H18))</f>
        <v/>
      </c>
      <c r="I19" s="8">
        <f>MAX(0,Supuestos!$B$17-SUM($B18:I18))</f>
        <v/>
      </c>
      <c r="J19" s="8">
        <f>MAX(0,Supuestos!$B$17-SUM($B18:J18))</f>
        <v/>
      </c>
      <c r="K19" s="8">
        <f>MAX(0,Supuestos!$B$17-SUM($B18:K18))</f>
        <v/>
      </c>
      <c r="L19" s="8">
        <f>MAX(0,Supuestos!$B$17-SUM($B18:L18))</f>
        <v/>
      </c>
      <c r="M19" s="8">
        <f>MAX(0,Supuestos!$B$17-SUM($B18:M18))</f>
        <v/>
      </c>
      <c r="N19" s="8">
        <f>MAX(0,Supuestos!$B$17-SUM($B18:N18))</f>
        <v/>
      </c>
      <c r="O19" s="8">
        <f>MAX(0,Supuestos!$B$17-SUM($B18:O18))</f>
        <v/>
      </c>
      <c r="P19" s="8">
        <f>MAX(0,Supuestos!$B$17-SUM($B18:P18))</f>
        <v/>
      </c>
      <c r="Q19" s="8">
        <f>MAX(0,Supuestos!$B$17-SUM($B18:Q18))</f>
        <v/>
      </c>
    </row>
    <row r="20">
      <c r="A20" t="inlineStr">
        <is>
          <t>Impuesto a la renta (pagado al año siguiente)</t>
        </is>
      </c>
      <c r="B20" s="8" t="n">
        <v>0</v>
      </c>
      <c r="C20" s="8">
        <f>MAX(0,(B9-B16-B7*Supuestos!$B$17*0.881/Supuestos!$B$7)*Supuestos!$C$36)</f>
        <v/>
      </c>
      <c r="D20" s="8">
        <f>MAX(0,(C9-C16-C7*Supuestos!$B$17*0.881/Supuestos!$B$7)*Supuestos!$C$36)</f>
        <v/>
      </c>
      <c r="E20" s="8">
        <f>MAX(0,(D9-D16-D7*Supuestos!$B$17*0.881/Supuestos!$B$7)*Supuestos!$C$36)</f>
        <v/>
      </c>
      <c r="F20" s="8">
        <f>MAX(0,(E9-E16-E7*Supuestos!$B$17*0.881/Supuestos!$B$7)*Supuestos!$C$36)</f>
        <v/>
      </c>
      <c r="G20" s="8">
        <f>MAX(0,(F9-F16-F7*Supuestos!$B$17*0.881/Supuestos!$B$7)*Supuestos!$C$36)</f>
        <v/>
      </c>
      <c r="H20" s="8">
        <f>MAX(0,(G9-G16-G7*Supuestos!$B$17*0.881/Supuestos!$B$7)*Supuestos!$C$36)</f>
        <v/>
      </c>
      <c r="I20" s="8">
        <f>MAX(0,(H9-H16-H7*Supuestos!$B$17*0.881/Supuestos!$B$7)*Supuestos!$C$36)</f>
        <v/>
      </c>
      <c r="J20" s="8">
        <f>MAX(0,(I9-I16-I7*Supuestos!$B$17*0.881/Supuestos!$B$7)*Supuestos!$C$36)</f>
        <v/>
      </c>
      <c r="K20" s="8">
        <f>MAX(0,(J9-J16-J7*Supuestos!$B$17*0.881/Supuestos!$B$7)*Supuestos!$C$36)</f>
        <v/>
      </c>
      <c r="L20" s="8">
        <f>MAX(0,(K9-K16-K7*Supuestos!$B$17*0.881/Supuestos!$B$7)*Supuestos!$C$36)</f>
        <v/>
      </c>
      <c r="M20" s="8">
        <f>MAX(0,(L9-L16-L7*Supuestos!$B$17*0.881/Supuestos!$B$7)*Supuestos!$C$36)</f>
        <v/>
      </c>
      <c r="N20" s="8">
        <f>MAX(0,(M9-M16-M7*Supuestos!$B$17*0.881/Supuestos!$B$7)*Supuestos!$C$36)</f>
        <v/>
      </c>
      <c r="O20" s="8">
        <f>MAX(0,(N9-N16-N7*Supuestos!$B$17*0.881/Supuestos!$B$7)*Supuestos!$C$36)</f>
        <v/>
      </c>
      <c r="P20" s="8">
        <f>MAX(0,(O9-O16-O7*Supuestos!$B$17*0.881/Supuestos!$B$7)*Supuestos!$C$36)</f>
        <v/>
      </c>
      <c r="Q20" s="8">
        <f>MAX(0,(P9-P16-P7*Supuestos!$B$17*0.881/Supuestos!$B$7)*Supuestos!$C$36)</f>
        <v/>
      </c>
    </row>
    <row r="22">
      <c r="A22" s="20" t="inlineStr">
        <is>
          <t>FLUJO DE CAJA DEL PERÍODO</t>
        </is>
      </c>
      <c r="B22" s="21">
        <f>B10-B16-B18-B20</f>
        <v/>
      </c>
      <c r="C22" s="21">
        <f>C10-C16-C18-C20</f>
        <v/>
      </c>
      <c r="D22" s="21">
        <f>D10-D16-D18-D20</f>
        <v/>
      </c>
      <c r="E22" s="21">
        <f>E10-E16-E18-E20</f>
        <v/>
      </c>
      <c r="F22" s="21">
        <f>F10-F16-F18-F20</f>
        <v/>
      </c>
      <c r="G22" s="21">
        <f>G10-G16-G18-G20</f>
        <v/>
      </c>
      <c r="H22" s="21">
        <f>H10-H16-H18-H20</f>
        <v/>
      </c>
      <c r="I22" s="21">
        <f>I10-I16-I18-I20</f>
        <v/>
      </c>
      <c r="J22" s="21">
        <f>J10-J16-J18-J20</f>
        <v/>
      </c>
      <c r="K22" s="21">
        <f>K10-K16-K18-K20</f>
        <v/>
      </c>
      <c r="L22" s="21">
        <f>L10-L16-L18-L20</f>
        <v/>
      </c>
      <c r="M22" s="21">
        <f>M10-M16-M18-M20</f>
        <v/>
      </c>
      <c r="N22" s="21">
        <f>N10-N16-N18-N20</f>
        <v/>
      </c>
      <c r="O22" s="21">
        <f>O10-O16-O18-O20</f>
        <v/>
      </c>
      <c r="P22" s="21">
        <f>P10-P16-P18-P20</f>
        <v/>
      </c>
      <c r="Q22" s="21">
        <f>Q10-Q16-Q18-Q20</f>
        <v/>
      </c>
    </row>
    <row r="23">
      <c r="A23" s="16" t="inlineStr">
        <is>
          <t>Flujo acumulado</t>
        </is>
      </c>
      <c r="B23" s="8">
        <f>B22</f>
        <v/>
      </c>
      <c r="C23" s="8">
        <f>B23+C22</f>
        <v/>
      </c>
      <c r="D23" s="8">
        <f>C23+D22</f>
        <v/>
      </c>
      <c r="E23" s="8">
        <f>D23+E22</f>
        <v/>
      </c>
      <c r="F23" s="8">
        <f>E23+F22</f>
        <v/>
      </c>
      <c r="G23" s="8">
        <f>F23+G22</f>
        <v/>
      </c>
      <c r="H23" s="8">
        <f>G23+H22</f>
        <v/>
      </c>
      <c r="I23" s="8">
        <f>H23+I22</f>
        <v/>
      </c>
      <c r="J23" s="8">
        <f>I23+J22</f>
        <v/>
      </c>
      <c r="K23" s="8">
        <f>J23+K22</f>
        <v/>
      </c>
      <c r="L23" s="8">
        <f>K23+L22</f>
        <v/>
      </c>
      <c r="M23" s="8">
        <f>L23+M22</f>
        <v/>
      </c>
      <c r="N23" s="8">
        <f>M23+N22</f>
        <v/>
      </c>
      <c r="O23" s="8">
        <f>N23+O22</f>
        <v/>
      </c>
      <c r="P23" s="8">
        <f>O23+P22</f>
        <v/>
      </c>
      <c r="Q23" s="8">
        <f>P23+Q22</f>
        <v/>
      </c>
    </row>
    <row r="25">
      <c r="A25" s="3" t="inlineStr">
        <is>
          <t>INDICADORES</t>
        </is>
      </c>
    </row>
    <row r="26">
      <c r="A26" s="16" t="inlineStr">
        <is>
          <t>Ingresos totales</t>
        </is>
      </c>
      <c r="B26" s="21">
        <f>SUM(B9:Q9)</f>
        <v/>
      </c>
    </row>
    <row r="27">
      <c r="A27" s="16" t="inlineStr">
        <is>
          <t>Costos totales (con terreno)</t>
        </is>
      </c>
      <c r="B27" s="21">
        <f>SUM(B16:Q16)+Supuestos!$B$17*0.881</f>
        <v/>
      </c>
    </row>
    <row r="28">
      <c r="A28" s="16" t="inlineStr">
        <is>
          <t>Utilidad antes de impuesto</t>
        </is>
      </c>
      <c r="B28" s="21">
        <f>B26-B27</f>
        <v/>
      </c>
    </row>
    <row r="29">
      <c r="A29" s="16" t="inlineStr">
        <is>
          <t>Margen bruto</t>
        </is>
      </c>
      <c r="B29" s="22">
        <f>B28/B26</f>
        <v/>
      </c>
    </row>
    <row r="30">
      <c r="A30" s="16" t="inlineStr">
        <is>
          <t>Impuesto</t>
        </is>
      </c>
      <c r="B30" s="21">
        <f>B28*Supuestos!$C$36</f>
        <v/>
      </c>
    </row>
    <row r="31">
      <c r="A31" s="16" t="inlineStr">
        <is>
          <t>Utilidad neta</t>
        </is>
      </c>
      <c r="B31" s="21">
        <f>B28-B30</f>
        <v/>
      </c>
    </row>
    <row r="32">
      <c r="A32" s="16" t="inlineStr">
        <is>
          <t>Margen neto</t>
        </is>
      </c>
      <c r="B32" s="22">
        <f>B31/B26</f>
        <v/>
      </c>
    </row>
    <row r="33">
      <c r="A33" s="16" t="inlineStr">
        <is>
          <t>Capital máximo expuesto</t>
        </is>
      </c>
      <c r="B33" s="21">
        <f>-MIN(B23:Q23,0)</f>
        <v/>
      </c>
    </row>
    <row r="34">
      <c r="A34" s="16" t="inlineStr">
        <is>
          <t>TIR del proyecto</t>
        </is>
      </c>
      <c r="B34" s="22">
        <f>IRR(B22:Q22)</f>
        <v/>
      </c>
    </row>
    <row r="35">
      <c r="A35" s="16" t="inlineStr">
        <is>
          <t>VAN a la tasa de descuento</t>
        </is>
      </c>
      <c r="B35" s="21">
        <f>NPV(Supuestos!$C$37,C22:Q22)+B22</f>
        <v/>
      </c>
    </row>
    <row r="36">
      <c r="A36" s="16" t="inlineStr">
        <is>
          <t>Precio promedio logrado (UF/m²)</t>
        </is>
      </c>
      <c r="B36" s="23">
        <f>B26/Supuestos!$B$6</f>
        <v/>
      </c>
    </row>
    <row r="37">
      <c r="A37" s="16" t="inlineStr">
        <is>
          <t>Saldo impago al vencer el plazo</t>
        </is>
      </c>
      <c r="B37" s="21">
        <f>INDEX(B19:Q19,Supuestos!$B$20+1)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FLUJO DE CAJA — ESCENARIO OPTIMISTA</t>
        </is>
      </c>
    </row>
    <row r="2">
      <c r="A2" s="2" t="inlineStr">
        <is>
          <t>Todos los valores en UF. Cambiar supuestos en la hoja 'Supuestos'.</t>
        </is>
      </c>
    </row>
    <row r="4">
      <c r="A4" s="4" t="inlineStr">
        <is>
          <t>Concepto</t>
        </is>
      </c>
      <c r="B4" s="5" t="inlineStr">
        <is>
          <t>Año 0</t>
        </is>
      </c>
      <c r="C4" s="5" t="inlineStr">
        <is>
          <t>Año 1</t>
        </is>
      </c>
      <c r="D4" s="5" t="inlineStr">
        <is>
          <t>Año 2</t>
        </is>
      </c>
      <c r="E4" s="5" t="inlineStr">
        <is>
          <t>Año 3</t>
        </is>
      </c>
      <c r="F4" s="5" t="inlineStr">
        <is>
          <t>Año 4</t>
        </is>
      </c>
      <c r="G4" s="5" t="inlineStr">
        <is>
          <t>Año 5</t>
        </is>
      </c>
      <c r="H4" s="5" t="inlineStr">
        <is>
          <t>Año 6</t>
        </is>
      </c>
      <c r="I4" s="5" t="inlineStr">
        <is>
          <t>Año 7</t>
        </is>
      </c>
      <c r="J4" s="5" t="inlineStr">
        <is>
          <t>Año 8</t>
        </is>
      </c>
      <c r="K4" s="5" t="inlineStr">
        <is>
          <t>Año 9</t>
        </is>
      </c>
      <c r="L4" s="5" t="inlineStr">
        <is>
          <t>Año 10</t>
        </is>
      </c>
      <c r="M4" s="5" t="inlineStr">
        <is>
          <t>Año 11</t>
        </is>
      </c>
      <c r="N4" s="5" t="inlineStr">
        <is>
          <t>Año 12</t>
        </is>
      </c>
      <c r="O4" s="5" t="inlineStr">
        <is>
          <t>Año 13</t>
        </is>
      </c>
      <c r="P4" s="5" t="inlineStr">
        <is>
          <t>Año 14</t>
        </is>
      </c>
      <c r="Q4" s="5" t="inlineStr">
        <is>
          <t>Año 15</t>
        </is>
      </c>
    </row>
    <row r="5">
      <c r="A5" s="16" t="inlineStr">
        <is>
          <t>Año</t>
        </is>
      </c>
      <c r="B5" s="16" t="n">
        <v>0</v>
      </c>
      <c r="C5" s="16" t="n">
        <v>1</v>
      </c>
      <c r="D5" s="16" t="n">
        <v>2</v>
      </c>
      <c r="E5" s="16" t="n">
        <v>3</v>
      </c>
      <c r="F5" s="16" t="n">
        <v>4</v>
      </c>
      <c r="G5" s="16" t="n">
        <v>5</v>
      </c>
      <c r="H5" s="16" t="n">
        <v>6</v>
      </c>
      <c r="I5" s="16" t="n">
        <v>7</v>
      </c>
      <c r="J5" s="16" t="n">
        <v>8</v>
      </c>
      <c r="K5" s="16" t="n">
        <v>9</v>
      </c>
      <c r="L5" s="16" t="n">
        <v>10</v>
      </c>
      <c r="M5" s="16" t="n">
        <v>11</v>
      </c>
      <c r="N5" s="16" t="n">
        <v>12</v>
      </c>
      <c r="O5" s="16" t="n">
        <v>13</v>
      </c>
      <c r="P5" s="16" t="n">
        <v>14</v>
      </c>
      <c r="Q5" s="16" t="n">
        <v>15</v>
      </c>
    </row>
    <row r="6">
      <c r="A6" t="inlineStr">
        <is>
          <t>Sitios vendidos acumulados (previo)</t>
        </is>
      </c>
      <c r="B6" s="8">
        <f>0</f>
        <v/>
      </c>
      <c r="C6" s="8">
        <f>B6+B7</f>
        <v/>
      </c>
      <c r="D6" s="8">
        <f>C6+C7</f>
        <v/>
      </c>
      <c r="E6" s="8">
        <f>D6+D7</f>
        <v/>
      </c>
      <c r="F6" s="8">
        <f>E6+E7</f>
        <v/>
      </c>
      <c r="G6" s="8">
        <f>F6+F7</f>
        <v/>
      </c>
      <c r="H6" s="8">
        <f>G6+G7</f>
        <v/>
      </c>
      <c r="I6" s="8">
        <f>H6+H7</f>
        <v/>
      </c>
      <c r="J6" s="8">
        <f>I6+I7</f>
        <v/>
      </c>
      <c r="K6" s="8">
        <f>J6+J7</f>
        <v/>
      </c>
      <c r="L6" s="8">
        <f>K6+K7</f>
        <v/>
      </c>
      <c r="M6" s="8">
        <f>L6+L7</f>
        <v/>
      </c>
      <c r="N6" s="8">
        <f>M6+M7</f>
        <v/>
      </c>
      <c r="O6" s="8">
        <f>N6+N7</f>
        <v/>
      </c>
      <c r="P6" s="8">
        <f>O6+O7</f>
        <v/>
      </c>
      <c r="Q6" s="8">
        <f>P6+P7</f>
        <v/>
      </c>
    </row>
    <row r="7">
      <c r="A7" s="16" t="inlineStr">
        <is>
          <t>Sitios vendidos en el año</t>
        </is>
      </c>
      <c r="B7" s="8">
        <f>IF(0&lt;Supuestos!$D$26,0,MIN(Supuestos!$D$25,Supuestos!$B$7-B6))</f>
        <v/>
      </c>
      <c r="C7" s="8">
        <f>IF(1&lt;Supuestos!$D$26,0,MIN(Supuestos!$D$25,Supuestos!$B$7-C6))</f>
        <v/>
      </c>
      <c r="D7" s="8">
        <f>IF(2&lt;Supuestos!$D$26,0,MIN(Supuestos!$D$25,Supuestos!$B$7-D6))</f>
        <v/>
      </c>
      <c r="E7" s="8">
        <f>IF(3&lt;Supuestos!$D$26,0,MIN(Supuestos!$D$25,Supuestos!$B$7-E6))</f>
        <v/>
      </c>
      <c r="F7" s="8">
        <f>IF(4&lt;Supuestos!$D$26,0,MIN(Supuestos!$D$25,Supuestos!$B$7-F6))</f>
        <v/>
      </c>
      <c r="G7" s="8">
        <f>IF(5&lt;Supuestos!$D$26,0,MIN(Supuestos!$D$25,Supuestos!$B$7-G6))</f>
        <v/>
      </c>
      <c r="H7" s="8">
        <f>IF(6&lt;Supuestos!$D$26,0,MIN(Supuestos!$D$25,Supuestos!$B$7-H6))</f>
        <v/>
      </c>
      <c r="I7" s="8">
        <f>IF(7&lt;Supuestos!$D$26,0,MIN(Supuestos!$D$25,Supuestos!$B$7-I6))</f>
        <v/>
      </c>
      <c r="J7" s="8">
        <f>IF(8&lt;Supuestos!$D$26,0,MIN(Supuestos!$D$25,Supuestos!$B$7-J6))</f>
        <v/>
      </c>
      <c r="K7" s="8">
        <f>IF(9&lt;Supuestos!$D$26,0,MIN(Supuestos!$D$25,Supuestos!$B$7-K6))</f>
        <v/>
      </c>
      <c r="L7" s="8">
        <f>IF(10&lt;Supuestos!$D$26,0,MIN(Supuestos!$D$25,Supuestos!$B$7-L6))</f>
        <v/>
      </c>
      <c r="M7" s="8">
        <f>IF(11&lt;Supuestos!$D$26,0,MIN(Supuestos!$D$25,Supuestos!$B$7-M6))</f>
        <v/>
      </c>
      <c r="N7" s="8">
        <f>IF(12&lt;Supuestos!$D$26,0,MIN(Supuestos!$D$25,Supuestos!$B$7-N6))</f>
        <v/>
      </c>
      <c r="O7" s="8">
        <f>IF(13&lt;Supuestos!$D$26,0,MIN(Supuestos!$D$25,Supuestos!$B$7-O6))</f>
        <v/>
      </c>
      <c r="P7" s="8">
        <f>IF(14&lt;Supuestos!$D$26,0,MIN(Supuestos!$D$25,Supuestos!$B$7-P6))</f>
        <v/>
      </c>
      <c r="Q7" s="8">
        <f>IF(15&lt;Supuestos!$D$26,0,MIN(Supuestos!$D$25,Supuestos!$B$7-Q6))</f>
        <v/>
      </c>
    </row>
    <row r="8">
      <c r="A8" t="inlineStr">
        <is>
          <t>Precio del año (UF/m²)</t>
        </is>
      </c>
      <c r="B8" s="17">
        <f>IF(0&lt;Supuestos!$D$26,0,IF(0-Supuestos!$D$26+1&gt;=Supuestos!$D$29,Supuestos!$D$28,Supuestos!$D$27))</f>
        <v/>
      </c>
      <c r="C8" s="17">
        <f>IF(1&lt;Supuestos!$D$26,0,IF(1-Supuestos!$D$26+1&gt;=Supuestos!$D$29,Supuestos!$D$28,Supuestos!$D$27))</f>
        <v/>
      </c>
      <c r="D8" s="17">
        <f>IF(2&lt;Supuestos!$D$26,0,IF(2-Supuestos!$D$26+1&gt;=Supuestos!$D$29,Supuestos!$D$28,Supuestos!$D$27))</f>
        <v/>
      </c>
      <c r="E8" s="17">
        <f>IF(3&lt;Supuestos!$D$26,0,IF(3-Supuestos!$D$26+1&gt;=Supuestos!$D$29,Supuestos!$D$28,Supuestos!$D$27))</f>
        <v/>
      </c>
      <c r="F8" s="17">
        <f>IF(4&lt;Supuestos!$D$26,0,IF(4-Supuestos!$D$26+1&gt;=Supuestos!$D$29,Supuestos!$D$28,Supuestos!$D$27))</f>
        <v/>
      </c>
      <c r="G8" s="17">
        <f>IF(5&lt;Supuestos!$D$26,0,IF(5-Supuestos!$D$26+1&gt;=Supuestos!$D$29,Supuestos!$D$28,Supuestos!$D$27))</f>
        <v/>
      </c>
      <c r="H8" s="17">
        <f>IF(6&lt;Supuestos!$D$26,0,IF(6-Supuestos!$D$26+1&gt;=Supuestos!$D$29,Supuestos!$D$28,Supuestos!$D$27))</f>
        <v/>
      </c>
      <c r="I8" s="17">
        <f>IF(7&lt;Supuestos!$D$26,0,IF(7-Supuestos!$D$26+1&gt;=Supuestos!$D$29,Supuestos!$D$28,Supuestos!$D$27))</f>
        <v/>
      </c>
      <c r="J8" s="17">
        <f>IF(8&lt;Supuestos!$D$26,0,IF(8-Supuestos!$D$26+1&gt;=Supuestos!$D$29,Supuestos!$D$28,Supuestos!$D$27))</f>
        <v/>
      </c>
      <c r="K8" s="17">
        <f>IF(9&lt;Supuestos!$D$26,0,IF(9-Supuestos!$D$26+1&gt;=Supuestos!$D$29,Supuestos!$D$28,Supuestos!$D$27))</f>
        <v/>
      </c>
      <c r="L8" s="17">
        <f>IF(10&lt;Supuestos!$D$26,0,IF(10-Supuestos!$D$26+1&gt;=Supuestos!$D$29,Supuestos!$D$28,Supuestos!$D$27))</f>
        <v/>
      </c>
      <c r="M8" s="17">
        <f>IF(11&lt;Supuestos!$D$26,0,IF(11-Supuestos!$D$26+1&gt;=Supuestos!$D$29,Supuestos!$D$28,Supuestos!$D$27))</f>
        <v/>
      </c>
      <c r="N8" s="17">
        <f>IF(12&lt;Supuestos!$D$26,0,IF(12-Supuestos!$D$26+1&gt;=Supuestos!$D$29,Supuestos!$D$28,Supuestos!$D$27))</f>
        <v/>
      </c>
      <c r="O8" s="17">
        <f>IF(13&lt;Supuestos!$D$26,0,IF(13-Supuestos!$D$26+1&gt;=Supuestos!$D$29,Supuestos!$D$28,Supuestos!$D$27))</f>
        <v/>
      </c>
      <c r="P8" s="17">
        <f>IF(14&lt;Supuestos!$D$26,0,IF(14-Supuestos!$D$26+1&gt;=Supuestos!$D$29,Supuestos!$D$28,Supuestos!$D$27))</f>
        <v/>
      </c>
      <c r="Q8" s="17">
        <f>IF(15&lt;Supuestos!$D$26,0,IF(15-Supuestos!$D$26+1&gt;=Supuestos!$D$29,Supuestos!$D$28,Supuestos!$D$27))</f>
        <v/>
      </c>
    </row>
    <row r="9">
      <c r="A9" s="16" t="inlineStr">
        <is>
          <t>Ingresos por venta</t>
        </is>
      </c>
      <c r="B9" s="8">
        <f>B7*Supuestos!$B$13*B8</f>
        <v/>
      </c>
      <c r="C9" s="8">
        <f>C7*Supuestos!$B$13*C8</f>
        <v/>
      </c>
      <c r="D9" s="8">
        <f>D7*Supuestos!$B$13*D8</f>
        <v/>
      </c>
      <c r="E9" s="8">
        <f>E7*Supuestos!$B$13*E8</f>
        <v/>
      </c>
      <c r="F9" s="8">
        <f>F7*Supuestos!$B$13*F8</f>
        <v/>
      </c>
      <c r="G9" s="8">
        <f>G7*Supuestos!$B$13*G8</f>
        <v/>
      </c>
      <c r="H9" s="8">
        <f>H7*Supuestos!$B$13*H8</f>
        <v/>
      </c>
      <c r="I9" s="8">
        <f>I7*Supuestos!$B$13*I8</f>
        <v/>
      </c>
      <c r="J9" s="8">
        <f>J7*Supuestos!$B$13*J8</f>
        <v/>
      </c>
      <c r="K9" s="8">
        <f>K7*Supuestos!$B$13*K8</f>
        <v/>
      </c>
      <c r="L9" s="8">
        <f>L7*Supuestos!$B$13*L8</f>
        <v/>
      </c>
      <c r="M9" s="8">
        <f>M7*Supuestos!$B$13*M8</f>
        <v/>
      </c>
      <c r="N9" s="8">
        <f>N7*Supuestos!$B$13*N8</f>
        <v/>
      </c>
      <c r="O9" s="8">
        <f>O7*Supuestos!$B$13*O8</f>
        <v/>
      </c>
      <c r="P9" s="8">
        <f>P7*Supuestos!$B$13*P8</f>
        <v/>
      </c>
      <c r="Q9" s="8">
        <f>Q7*Supuestos!$B$13*Q8</f>
        <v/>
      </c>
    </row>
    <row r="10">
      <c r="A10" t="inlineStr">
        <is>
          <t>Caja por ventas (20% anticipado)</t>
        </is>
      </c>
      <c r="B10" s="8">
        <f>B9*(1-Supuestos!$D$38)+C9*Supuestos!$D$38</f>
        <v/>
      </c>
      <c r="C10" s="8">
        <f>C9*(1-Supuestos!$D$38)+D9*Supuestos!$D$38</f>
        <v/>
      </c>
      <c r="D10" s="8">
        <f>D9*(1-Supuestos!$D$38)+E9*Supuestos!$D$38</f>
        <v/>
      </c>
      <c r="E10" s="8">
        <f>E9*(1-Supuestos!$D$38)+F9*Supuestos!$D$38</f>
        <v/>
      </c>
      <c r="F10" s="8">
        <f>F9*(1-Supuestos!$D$38)+G9*Supuestos!$D$38</f>
        <v/>
      </c>
      <c r="G10" s="8">
        <f>G9*(1-Supuestos!$D$38)+H9*Supuestos!$D$38</f>
        <v/>
      </c>
      <c r="H10" s="8">
        <f>H9*(1-Supuestos!$D$38)+I9*Supuestos!$D$38</f>
        <v/>
      </c>
      <c r="I10" s="8">
        <f>I9*(1-Supuestos!$D$38)+J9*Supuestos!$D$38</f>
        <v/>
      </c>
      <c r="J10" s="8">
        <f>J9*(1-Supuestos!$D$38)+K9*Supuestos!$D$38</f>
        <v/>
      </c>
      <c r="K10" s="8">
        <f>K9*(1-Supuestos!$D$38)+L9*Supuestos!$D$38</f>
        <v/>
      </c>
      <c r="L10" s="8">
        <f>L9*(1-Supuestos!$D$38)+M9*Supuestos!$D$38</f>
        <v/>
      </c>
      <c r="M10" s="8">
        <f>M9*(1-Supuestos!$D$38)+N9*Supuestos!$D$38</f>
        <v/>
      </c>
      <c r="N10" s="8">
        <f>N9*(1-Supuestos!$D$38)+O9*Supuestos!$D$38</f>
        <v/>
      </c>
      <c r="O10" s="8">
        <f>O9*(1-Supuestos!$D$38)+P9*Supuestos!$D$38</f>
        <v/>
      </c>
      <c r="P10" s="8">
        <f>P9*(1-Supuestos!$D$38)+Q9*Supuestos!$D$38</f>
        <v/>
      </c>
      <c r="Q10" s="8">
        <f>Q9*(1-Supuestos!$D$38)</f>
        <v/>
      </c>
    </row>
    <row r="12">
      <c r="A12" t="inlineStr">
        <is>
          <t>Urbanización (4 macro-etapas)</t>
        </is>
      </c>
      <c r="B12" s="8">
        <f>Supuestos!$D$30*(IF(0=Supuestos!$D$26-1,0.3,0)+IF(0=Supuestos!$D$26,0.25,0)+IF(0=Supuestos!$D$26+2,0.25,0)+IF(0=Supuestos!$D$26+4,0.2,0))</f>
        <v/>
      </c>
      <c r="C12" s="8">
        <f>Supuestos!$D$30*(IF(1=Supuestos!$D$26-1,0.3,0)+IF(1=Supuestos!$D$26,0.25,0)+IF(1=Supuestos!$D$26+2,0.25,0)+IF(1=Supuestos!$D$26+4,0.2,0))</f>
        <v/>
      </c>
      <c r="D12" s="8">
        <f>Supuestos!$D$30*(IF(2=Supuestos!$D$26-1,0.3,0)+IF(2=Supuestos!$D$26,0.25,0)+IF(2=Supuestos!$D$26+2,0.25,0)+IF(2=Supuestos!$D$26+4,0.2,0))</f>
        <v/>
      </c>
      <c r="E12" s="8">
        <f>Supuestos!$D$30*(IF(3=Supuestos!$D$26-1,0.3,0)+IF(3=Supuestos!$D$26,0.25,0)+IF(3=Supuestos!$D$26+2,0.25,0)+IF(3=Supuestos!$D$26+4,0.2,0))</f>
        <v/>
      </c>
      <c r="F12" s="8">
        <f>Supuestos!$D$30*(IF(4=Supuestos!$D$26-1,0.3,0)+IF(4=Supuestos!$D$26,0.25,0)+IF(4=Supuestos!$D$26+2,0.25,0)+IF(4=Supuestos!$D$26+4,0.2,0))</f>
        <v/>
      </c>
      <c r="G12" s="8">
        <f>Supuestos!$D$30*(IF(5=Supuestos!$D$26-1,0.3,0)+IF(5=Supuestos!$D$26,0.25,0)+IF(5=Supuestos!$D$26+2,0.25,0)+IF(5=Supuestos!$D$26+4,0.2,0))</f>
        <v/>
      </c>
      <c r="H12" s="8">
        <f>Supuestos!$D$30*(IF(6=Supuestos!$D$26-1,0.3,0)+IF(6=Supuestos!$D$26,0.25,0)+IF(6=Supuestos!$D$26+2,0.25,0)+IF(6=Supuestos!$D$26+4,0.2,0))</f>
        <v/>
      </c>
      <c r="I12" s="8">
        <f>Supuestos!$D$30*(IF(7=Supuestos!$D$26-1,0.3,0)+IF(7=Supuestos!$D$26,0.25,0)+IF(7=Supuestos!$D$26+2,0.25,0)+IF(7=Supuestos!$D$26+4,0.2,0))</f>
        <v/>
      </c>
      <c r="J12" s="8">
        <f>Supuestos!$D$30*(IF(8=Supuestos!$D$26-1,0.3,0)+IF(8=Supuestos!$D$26,0.25,0)+IF(8=Supuestos!$D$26+2,0.25,0)+IF(8=Supuestos!$D$26+4,0.2,0))</f>
        <v/>
      </c>
      <c r="K12" s="8">
        <f>Supuestos!$D$30*(IF(9=Supuestos!$D$26-1,0.3,0)+IF(9=Supuestos!$D$26,0.25,0)+IF(9=Supuestos!$D$26+2,0.25,0)+IF(9=Supuestos!$D$26+4,0.2,0))</f>
        <v/>
      </c>
      <c r="L12" s="8">
        <f>Supuestos!$D$30*(IF(10=Supuestos!$D$26-1,0.3,0)+IF(10=Supuestos!$D$26,0.25,0)+IF(10=Supuestos!$D$26+2,0.25,0)+IF(10=Supuestos!$D$26+4,0.2,0))</f>
        <v/>
      </c>
      <c r="M12" s="8">
        <f>Supuestos!$D$30*(IF(11=Supuestos!$D$26-1,0.3,0)+IF(11=Supuestos!$D$26,0.25,0)+IF(11=Supuestos!$D$26+2,0.25,0)+IF(11=Supuestos!$D$26+4,0.2,0))</f>
        <v/>
      </c>
      <c r="N12" s="8">
        <f>Supuestos!$D$30*(IF(12=Supuestos!$D$26-1,0.3,0)+IF(12=Supuestos!$D$26,0.25,0)+IF(12=Supuestos!$D$26+2,0.25,0)+IF(12=Supuestos!$D$26+4,0.2,0))</f>
        <v/>
      </c>
      <c r="O12" s="8">
        <f>Supuestos!$D$30*(IF(13=Supuestos!$D$26-1,0.3,0)+IF(13=Supuestos!$D$26,0.25,0)+IF(13=Supuestos!$D$26+2,0.25,0)+IF(13=Supuestos!$D$26+4,0.2,0))</f>
        <v/>
      </c>
      <c r="P12" s="8">
        <f>Supuestos!$D$30*(IF(14=Supuestos!$D$26-1,0.3,0)+IF(14=Supuestos!$D$26,0.25,0)+IF(14=Supuestos!$D$26+2,0.25,0)+IF(14=Supuestos!$D$26+4,0.2,0))</f>
        <v/>
      </c>
      <c r="Q12" s="8">
        <f>Supuestos!$D$30*(IF(15=Supuestos!$D$26-1,0.3,0)+IF(15=Supuestos!$D$26,0.25,0)+IF(15=Supuestos!$D$26+2,0.25,0)+IF(15=Supuestos!$D$26+4,0.2,0))</f>
        <v/>
      </c>
    </row>
    <row r="13">
      <c r="A13" t="inlineStr">
        <is>
          <t>Proyectos, permisos y especialidades</t>
        </is>
      </c>
      <c r="B13" s="8">
        <f>Supuestos!$D$33</f>
        <v/>
      </c>
      <c r="C13" s="8">
        <f>Supuestos!$D$34</f>
        <v/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</row>
    <row r="14">
      <c r="A14" t="inlineStr">
        <is>
          <t>Gasto comercial</t>
        </is>
      </c>
      <c r="B14" s="8">
        <f>B9*Supuestos!$D$31</f>
        <v/>
      </c>
      <c r="C14" s="8">
        <f>C9*Supuestos!$D$31</f>
        <v/>
      </c>
      <c r="D14" s="8">
        <f>D9*Supuestos!$D$31</f>
        <v/>
      </c>
      <c r="E14" s="8">
        <f>E9*Supuestos!$D$31</f>
        <v/>
      </c>
      <c r="F14" s="8">
        <f>F9*Supuestos!$D$31</f>
        <v/>
      </c>
      <c r="G14" s="8">
        <f>G9*Supuestos!$D$31</f>
        <v/>
      </c>
      <c r="H14" s="8">
        <f>H9*Supuestos!$D$31</f>
        <v/>
      </c>
      <c r="I14" s="8">
        <f>I9*Supuestos!$D$31</f>
        <v/>
      </c>
      <c r="J14" s="8">
        <f>J9*Supuestos!$D$31</f>
        <v/>
      </c>
      <c r="K14" s="8">
        <f>K9*Supuestos!$D$31</f>
        <v/>
      </c>
      <c r="L14" s="8">
        <f>L9*Supuestos!$D$31</f>
        <v/>
      </c>
      <c r="M14" s="8">
        <f>M9*Supuestos!$D$31</f>
        <v/>
      </c>
      <c r="N14" s="8">
        <f>N9*Supuestos!$D$31</f>
        <v/>
      </c>
      <c r="O14" s="8">
        <f>O9*Supuestos!$D$31</f>
        <v/>
      </c>
      <c r="P14" s="8">
        <f>P9*Supuestos!$D$31</f>
        <v/>
      </c>
      <c r="Q14" s="8">
        <f>Q9*Supuestos!$D$31</f>
        <v/>
      </c>
    </row>
    <row r="15">
      <c r="A15" t="inlineStr">
        <is>
          <t>Administración y contribuciones</t>
        </is>
      </c>
      <c r="B15" s="8">
        <f>IF(OR(B7&gt;0,0&lt;Supuestos!$D$26),Supuestos!$D$32+Supuestos!$D$35,0)</f>
        <v/>
      </c>
      <c r="C15" s="8">
        <f>IF(OR(C7&gt;0,1&lt;Supuestos!$D$26),Supuestos!$D$32+Supuestos!$D$35,0)</f>
        <v/>
      </c>
      <c r="D15" s="8">
        <f>IF(OR(D7&gt;0,2&lt;Supuestos!$D$26),Supuestos!$D$32+Supuestos!$D$35,0)</f>
        <v/>
      </c>
      <c r="E15" s="8">
        <f>IF(OR(E7&gt;0,3&lt;Supuestos!$D$26),Supuestos!$D$32+Supuestos!$D$35,0)</f>
        <v/>
      </c>
      <c r="F15" s="8">
        <f>IF(OR(F7&gt;0,4&lt;Supuestos!$D$26),Supuestos!$D$32+Supuestos!$D$35,0)</f>
        <v/>
      </c>
      <c r="G15" s="8">
        <f>IF(OR(G7&gt;0,5&lt;Supuestos!$D$26),Supuestos!$D$32+Supuestos!$D$35,0)</f>
        <v/>
      </c>
      <c r="H15" s="8">
        <f>IF(OR(H7&gt;0,6&lt;Supuestos!$D$26),Supuestos!$D$32+Supuestos!$D$35,0)</f>
        <v/>
      </c>
      <c r="I15" s="8">
        <f>IF(OR(I7&gt;0,7&lt;Supuestos!$D$26),Supuestos!$D$32+Supuestos!$D$35,0)</f>
        <v/>
      </c>
      <c r="J15" s="8">
        <f>IF(OR(J7&gt;0,8&lt;Supuestos!$D$26),Supuestos!$D$32+Supuestos!$D$35,0)</f>
        <v/>
      </c>
      <c r="K15" s="8">
        <f>IF(OR(K7&gt;0,9&lt;Supuestos!$D$26),Supuestos!$D$32+Supuestos!$D$35,0)</f>
        <v/>
      </c>
      <c r="L15" s="8">
        <f>IF(OR(L7&gt;0,10&lt;Supuestos!$D$26),Supuestos!$D$32+Supuestos!$D$35,0)</f>
        <v/>
      </c>
      <c r="M15" s="8">
        <f>IF(OR(M7&gt;0,11&lt;Supuestos!$D$26),Supuestos!$D$32+Supuestos!$D$35,0)</f>
        <v/>
      </c>
      <c r="N15" s="8">
        <f>IF(OR(N7&gt;0,12&lt;Supuestos!$D$26),Supuestos!$D$32+Supuestos!$D$35,0)</f>
        <v/>
      </c>
      <c r="O15" s="8">
        <f>IF(OR(O7&gt;0,13&lt;Supuestos!$D$26),Supuestos!$D$32+Supuestos!$D$35,0)</f>
        <v/>
      </c>
      <c r="P15" s="8">
        <f>IF(OR(P7&gt;0,14&lt;Supuestos!$D$26),Supuestos!$D$32+Supuestos!$D$35,0)</f>
        <v/>
      </c>
      <c r="Q15" s="8">
        <f>IF(OR(Q7&gt;0,15&lt;Supuestos!$D$26),Supuestos!$D$32+Supuestos!$D$35,0)</f>
        <v/>
      </c>
    </row>
    <row r="16">
      <c r="A16" s="18" t="inlineStr">
        <is>
          <t>Total egresos operacionales</t>
        </is>
      </c>
      <c r="B16" s="19">
        <f>B12+B13+B14+B15</f>
        <v/>
      </c>
      <c r="C16" s="19">
        <f>C12+C13+C14+C15</f>
        <v/>
      </c>
      <c r="D16" s="19">
        <f>D12+D13+D14+D15</f>
        <v/>
      </c>
      <c r="E16" s="19">
        <f>E12+E13+E14+E15</f>
        <v/>
      </c>
      <c r="F16" s="19">
        <f>F12+F13+F14+F15</f>
        <v/>
      </c>
      <c r="G16" s="19">
        <f>G12+G13+G14+G15</f>
        <v/>
      </c>
      <c r="H16" s="19">
        <f>H12+H13+H14+H15</f>
        <v/>
      </c>
      <c r="I16" s="19">
        <f>I12+I13+I14+I15</f>
        <v/>
      </c>
      <c r="J16" s="19">
        <f>J12+J13+J14+J15</f>
        <v/>
      </c>
      <c r="K16" s="19">
        <f>K12+K13+K14+K15</f>
        <v/>
      </c>
      <c r="L16" s="19">
        <f>L12+L13+L14+L15</f>
        <v/>
      </c>
      <c r="M16" s="19">
        <f>M12+M13+M14+M15</f>
        <v/>
      </c>
      <c r="N16" s="19">
        <f>N12+N13+N14+N15</f>
        <v/>
      </c>
      <c r="O16" s="19">
        <f>O12+O13+O14+O15</f>
        <v/>
      </c>
      <c r="P16" s="19">
        <f>P12+P13+P14+P15</f>
        <v/>
      </c>
      <c r="Q16" s="19">
        <f>Q12+Q13+Q14+Q15</f>
        <v/>
      </c>
    </row>
    <row r="18">
      <c r="A18" s="16" t="inlineStr">
        <is>
          <t>Pago del terreno</t>
        </is>
      </c>
      <c r="B18" s="8">
        <f>Supuestos!$B$18</f>
        <v/>
      </c>
      <c r="C18" s="8">
        <f>IF(1&gt;=Supuestos!$B$20,MAX(0,Supuestos!$B$17-SUM($B18:B18)),MIN(C10*Supuestos!$B$19,MAX(0,Supuestos!$B$17-SUM($B18:B18))))</f>
        <v/>
      </c>
      <c r="D18" s="8">
        <f>IF(2&gt;=Supuestos!$B$20,MAX(0,Supuestos!$B$17-SUM($B18:C18)),MIN(D10*Supuestos!$B$19,MAX(0,Supuestos!$B$17-SUM($B18:C18))))</f>
        <v/>
      </c>
      <c r="E18" s="8">
        <f>IF(3&gt;=Supuestos!$B$20,MAX(0,Supuestos!$B$17-SUM($B18:D18)),MIN(E10*Supuestos!$B$19,MAX(0,Supuestos!$B$17-SUM($B18:D18))))</f>
        <v/>
      </c>
      <c r="F18" s="8">
        <f>IF(4&gt;=Supuestos!$B$20,MAX(0,Supuestos!$B$17-SUM($B18:E18)),MIN(F10*Supuestos!$B$19,MAX(0,Supuestos!$B$17-SUM($B18:E18))))</f>
        <v/>
      </c>
      <c r="G18" s="8">
        <f>IF(5&gt;=Supuestos!$B$20,MAX(0,Supuestos!$B$17-SUM($B18:F18)),MIN(G10*Supuestos!$B$19,MAX(0,Supuestos!$B$17-SUM($B18:F18))))</f>
        <v/>
      </c>
      <c r="H18" s="8">
        <f>IF(6&gt;=Supuestos!$B$20,MAX(0,Supuestos!$B$17-SUM($B18:G18)),MIN(H10*Supuestos!$B$19,MAX(0,Supuestos!$B$17-SUM($B18:G18))))</f>
        <v/>
      </c>
      <c r="I18" s="8">
        <f>IF(7&gt;=Supuestos!$B$20,MAX(0,Supuestos!$B$17-SUM($B18:H18)),MIN(I10*Supuestos!$B$19,MAX(0,Supuestos!$B$17-SUM($B18:H18))))</f>
        <v/>
      </c>
      <c r="J18" s="8">
        <f>IF(8&gt;=Supuestos!$B$20,MAX(0,Supuestos!$B$17-SUM($B18:I18)),MIN(J10*Supuestos!$B$19,MAX(0,Supuestos!$B$17-SUM($B18:I18))))</f>
        <v/>
      </c>
      <c r="K18" s="8">
        <f>IF(9&gt;=Supuestos!$B$20,MAX(0,Supuestos!$B$17-SUM($B18:J18)),MIN(K10*Supuestos!$B$19,MAX(0,Supuestos!$B$17-SUM($B18:J18))))</f>
        <v/>
      </c>
      <c r="L18" s="8">
        <f>IF(10&gt;=Supuestos!$B$20,MAX(0,Supuestos!$B$17-SUM($B18:K18)),MIN(L10*Supuestos!$B$19,MAX(0,Supuestos!$B$17-SUM($B18:K18))))</f>
        <v/>
      </c>
      <c r="M18" s="8">
        <f>IF(11&gt;=Supuestos!$B$20,MAX(0,Supuestos!$B$17-SUM($B18:L18)),MIN(M10*Supuestos!$B$19,MAX(0,Supuestos!$B$17-SUM($B18:L18))))</f>
        <v/>
      </c>
      <c r="N18" s="8">
        <f>IF(12&gt;=Supuestos!$B$20,MAX(0,Supuestos!$B$17-SUM($B18:M18)),MIN(N10*Supuestos!$B$19,MAX(0,Supuestos!$B$17-SUM($B18:M18))))</f>
        <v/>
      </c>
      <c r="O18" s="8">
        <f>IF(13&gt;=Supuestos!$B$20,MAX(0,Supuestos!$B$17-SUM($B18:N18)),MIN(O10*Supuestos!$B$19,MAX(0,Supuestos!$B$17-SUM($B18:N18))))</f>
        <v/>
      </c>
      <c r="P18" s="8">
        <f>IF(14&gt;=Supuestos!$B$20,MAX(0,Supuestos!$B$17-SUM($B18:O18)),MIN(P10*Supuestos!$B$19,MAX(0,Supuestos!$B$17-SUM($B18:O18))))</f>
        <v/>
      </c>
      <c r="Q18" s="8">
        <f>IF(15&gt;=Supuestos!$B$20,MAX(0,Supuestos!$B$17-SUM($B18:P18)),MIN(Q10*Supuestos!$B$19,MAX(0,Supuestos!$B$17-SUM($B18:P18))))</f>
        <v/>
      </c>
    </row>
    <row r="19">
      <c r="A19" t="inlineStr">
        <is>
          <t>Saldo del terreno pendiente</t>
        </is>
      </c>
      <c r="B19" s="8">
        <f>MAX(0,Supuestos!$B$17-SUM($B18:B18))</f>
        <v/>
      </c>
      <c r="C19" s="8">
        <f>MAX(0,Supuestos!$B$17-SUM($B18:C18))</f>
        <v/>
      </c>
      <c r="D19" s="8">
        <f>MAX(0,Supuestos!$B$17-SUM($B18:D18))</f>
        <v/>
      </c>
      <c r="E19" s="8">
        <f>MAX(0,Supuestos!$B$17-SUM($B18:E18))</f>
        <v/>
      </c>
      <c r="F19" s="8">
        <f>MAX(0,Supuestos!$B$17-SUM($B18:F18))</f>
        <v/>
      </c>
      <c r="G19" s="8">
        <f>MAX(0,Supuestos!$B$17-SUM($B18:G18))</f>
        <v/>
      </c>
      <c r="H19" s="8">
        <f>MAX(0,Supuestos!$B$17-SUM($B18:H18))</f>
        <v/>
      </c>
      <c r="I19" s="8">
        <f>MAX(0,Supuestos!$B$17-SUM($B18:I18))</f>
        <v/>
      </c>
      <c r="J19" s="8">
        <f>MAX(0,Supuestos!$B$17-SUM($B18:J18))</f>
        <v/>
      </c>
      <c r="K19" s="8">
        <f>MAX(0,Supuestos!$B$17-SUM($B18:K18))</f>
        <v/>
      </c>
      <c r="L19" s="8">
        <f>MAX(0,Supuestos!$B$17-SUM($B18:L18))</f>
        <v/>
      </c>
      <c r="M19" s="8">
        <f>MAX(0,Supuestos!$B$17-SUM($B18:M18))</f>
        <v/>
      </c>
      <c r="N19" s="8">
        <f>MAX(0,Supuestos!$B$17-SUM($B18:N18))</f>
        <v/>
      </c>
      <c r="O19" s="8">
        <f>MAX(0,Supuestos!$B$17-SUM($B18:O18))</f>
        <v/>
      </c>
      <c r="P19" s="8">
        <f>MAX(0,Supuestos!$B$17-SUM($B18:P18))</f>
        <v/>
      </c>
      <c r="Q19" s="8">
        <f>MAX(0,Supuestos!$B$17-SUM($B18:Q18))</f>
        <v/>
      </c>
    </row>
    <row r="20">
      <c r="A20" t="inlineStr">
        <is>
          <t>Impuesto a la renta (pagado al año siguiente)</t>
        </is>
      </c>
      <c r="B20" s="8" t="n">
        <v>0</v>
      </c>
      <c r="C20" s="8">
        <f>MAX(0,(B9-B16-B7*Supuestos!$B$17*0.881/Supuestos!$B$7)*Supuestos!$D$36)</f>
        <v/>
      </c>
      <c r="D20" s="8">
        <f>MAX(0,(C9-C16-C7*Supuestos!$B$17*0.881/Supuestos!$B$7)*Supuestos!$D$36)</f>
        <v/>
      </c>
      <c r="E20" s="8">
        <f>MAX(0,(D9-D16-D7*Supuestos!$B$17*0.881/Supuestos!$B$7)*Supuestos!$D$36)</f>
        <v/>
      </c>
      <c r="F20" s="8">
        <f>MAX(0,(E9-E16-E7*Supuestos!$B$17*0.881/Supuestos!$B$7)*Supuestos!$D$36)</f>
        <v/>
      </c>
      <c r="G20" s="8">
        <f>MAX(0,(F9-F16-F7*Supuestos!$B$17*0.881/Supuestos!$B$7)*Supuestos!$D$36)</f>
        <v/>
      </c>
      <c r="H20" s="8">
        <f>MAX(0,(G9-G16-G7*Supuestos!$B$17*0.881/Supuestos!$B$7)*Supuestos!$D$36)</f>
        <v/>
      </c>
      <c r="I20" s="8">
        <f>MAX(0,(H9-H16-H7*Supuestos!$B$17*0.881/Supuestos!$B$7)*Supuestos!$D$36)</f>
        <v/>
      </c>
      <c r="J20" s="8">
        <f>MAX(0,(I9-I16-I7*Supuestos!$B$17*0.881/Supuestos!$B$7)*Supuestos!$D$36)</f>
        <v/>
      </c>
      <c r="K20" s="8">
        <f>MAX(0,(J9-J16-J7*Supuestos!$B$17*0.881/Supuestos!$B$7)*Supuestos!$D$36)</f>
        <v/>
      </c>
      <c r="L20" s="8">
        <f>MAX(0,(K9-K16-K7*Supuestos!$B$17*0.881/Supuestos!$B$7)*Supuestos!$D$36)</f>
        <v/>
      </c>
      <c r="M20" s="8">
        <f>MAX(0,(L9-L16-L7*Supuestos!$B$17*0.881/Supuestos!$B$7)*Supuestos!$D$36)</f>
        <v/>
      </c>
      <c r="N20" s="8">
        <f>MAX(0,(M9-M16-M7*Supuestos!$B$17*0.881/Supuestos!$B$7)*Supuestos!$D$36)</f>
        <v/>
      </c>
      <c r="O20" s="8">
        <f>MAX(0,(N9-N16-N7*Supuestos!$B$17*0.881/Supuestos!$B$7)*Supuestos!$D$36)</f>
        <v/>
      </c>
      <c r="P20" s="8">
        <f>MAX(0,(O9-O16-O7*Supuestos!$B$17*0.881/Supuestos!$B$7)*Supuestos!$D$36)</f>
        <v/>
      </c>
      <c r="Q20" s="8">
        <f>MAX(0,(P9-P16-P7*Supuestos!$B$17*0.881/Supuestos!$B$7)*Supuestos!$D$36)</f>
        <v/>
      </c>
    </row>
    <row r="22">
      <c r="A22" s="20" t="inlineStr">
        <is>
          <t>FLUJO DE CAJA DEL PERÍODO</t>
        </is>
      </c>
      <c r="B22" s="21">
        <f>B10-B16-B18-B20</f>
        <v/>
      </c>
      <c r="C22" s="21">
        <f>C10-C16-C18-C20</f>
        <v/>
      </c>
      <c r="D22" s="21">
        <f>D10-D16-D18-D20</f>
        <v/>
      </c>
      <c r="E22" s="21">
        <f>E10-E16-E18-E20</f>
        <v/>
      </c>
      <c r="F22" s="21">
        <f>F10-F16-F18-F20</f>
        <v/>
      </c>
      <c r="G22" s="21">
        <f>G10-G16-G18-G20</f>
        <v/>
      </c>
      <c r="H22" s="21">
        <f>H10-H16-H18-H20</f>
        <v/>
      </c>
      <c r="I22" s="21">
        <f>I10-I16-I18-I20</f>
        <v/>
      </c>
      <c r="J22" s="21">
        <f>J10-J16-J18-J20</f>
        <v/>
      </c>
      <c r="K22" s="21">
        <f>K10-K16-K18-K20</f>
        <v/>
      </c>
      <c r="L22" s="21">
        <f>L10-L16-L18-L20</f>
        <v/>
      </c>
      <c r="M22" s="21">
        <f>M10-M16-M18-M20</f>
        <v/>
      </c>
      <c r="N22" s="21">
        <f>N10-N16-N18-N20</f>
        <v/>
      </c>
      <c r="O22" s="21">
        <f>O10-O16-O18-O20</f>
        <v/>
      </c>
      <c r="P22" s="21">
        <f>P10-P16-P18-P20</f>
        <v/>
      </c>
      <c r="Q22" s="21">
        <f>Q10-Q16-Q18-Q20</f>
        <v/>
      </c>
    </row>
    <row r="23">
      <c r="A23" s="16" t="inlineStr">
        <is>
          <t>Flujo acumulado</t>
        </is>
      </c>
      <c r="B23" s="8">
        <f>B22</f>
        <v/>
      </c>
      <c r="C23" s="8">
        <f>B23+C22</f>
        <v/>
      </c>
      <c r="D23" s="8">
        <f>C23+D22</f>
        <v/>
      </c>
      <c r="E23" s="8">
        <f>D23+E22</f>
        <v/>
      </c>
      <c r="F23" s="8">
        <f>E23+F22</f>
        <v/>
      </c>
      <c r="G23" s="8">
        <f>F23+G22</f>
        <v/>
      </c>
      <c r="H23" s="8">
        <f>G23+H22</f>
        <v/>
      </c>
      <c r="I23" s="8">
        <f>H23+I22</f>
        <v/>
      </c>
      <c r="J23" s="8">
        <f>I23+J22</f>
        <v/>
      </c>
      <c r="K23" s="8">
        <f>J23+K22</f>
        <v/>
      </c>
      <c r="L23" s="8">
        <f>K23+L22</f>
        <v/>
      </c>
      <c r="M23" s="8">
        <f>L23+M22</f>
        <v/>
      </c>
      <c r="N23" s="8">
        <f>M23+N22</f>
        <v/>
      </c>
      <c r="O23" s="8">
        <f>N23+O22</f>
        <v/>
      </c>
      <c r="P23" s="8">
        <f>O23+P22</f>
        <v/>
      </c>
      <c r="Q23" s="8">
        <f>P23+Q22</f>
        <v/>
      </c>
    </row>
    <row r="25">
      <c r="A25" s="3" t="inlineStr">
        <is>
          <t>INDICADORES</t>
        </is>
      </c>
    </row>
    <row r="26">
      <c r="A26" s="16" t="inlineStr">
        <is>
          <t>Ingresos totales</t>
        </is>
      </c>
      <c r="B26" s="21">
        <f>SUM(B9:Q9)</f>
        <v/>
      </c>
    </row>
    <row r="27">
      <c r="A27" s="16" t="inlineStr">
        <is>
          <t>Costos totales (con terreno)</t>
        </is>
      </c>
      <c r="B27" s="21">
        <f>SUM(B16:Q16)+Supuestos!$B$17*0.881</f>
        <v/>
      </c>
    </row>
    <row r="28">
      <c r="A28" s="16" t="inlineStr">
        <is>
          <t>Utilidad antes de impuesto</t>
        </is>
      </c>
      <c r="B28" s="21">
        <f>B26-B27</f>
        <v/>
      </c>
    </row>
    <row r="29">
      <c r="A29" s="16" t="inlineStr">
        <is>
          <t>Margen bruto</t>
        </is>
      </c>
      <c r="B29" s="22">
        <f>B28/B26</f>
        <v/>
      </c>
    </row>
    <row r="30">
      <c r="A30" s="16" t="inlineStr">
        <is>
          <t>Impuesto</t>
        </is>
      </c>
      <c r="B30" s="21">
        <f>B28*Supuestos!$D$36</f>
        <v/>
      </c>
    </row>
    <row r="31">
      <c r="A31" s="16" t="inlineStr">
        <is>
          <t>Utilidad neta</t>
        </is>
      </c>
      <c r="B31" s="21">
        <f>B28-B30</f>
        <v/>
      </c>
    </row>
    <row r="32">
      <c r="A32" s="16" t="inlineStr">
        <is>
          <t>Margen neto</t>
        </is>
      </c>
      <c r="B32" s="22">
        <f>B31/B26</f>
        <v/>
      </c>
    </row>
    <row r="33">
      <c r="A33" s="16" t="inlineStr">
        <is>
          <t>Capital máximo expuesto</t>
        </is>
      </c>
      <c r="B33" s="21">
        <f>-MIN(B23:Q23,0)</f>
        <v/>
      </c>
    </row>
    <row r="34">
      <c r="A34" s="16" t="inlineStr">
        <is>
          <t>TIR del proyecto</t>
        </is>
      </c>
      <c r="B34" s="22">
        <f>IRR(B22:Q22)</f>
        <v/>
      </c>
    </row>
    <row r="35">
      <c r="A35" s="16" t="inlineStr">
        <is>
          <t>VAN a la tasa de descuento</t>
        </is>
      </c>
      <c r="B35" s="21">
        <f>NPV(Supuestos!$D$37,C22:Q22)+B22</f>
        <v/>
      </c>
    </row>
    <row r="36">
      <c r="A36" s="16" t="inlineStr">
        <is>
          <t>Precio promedio logrado (UF/m²)</t>
        </is>
      </c>
      <c r="B36" s="23">
        <f>B26/Supuestos!$B$6</f>
        <v/>
      </c>
    </row>
    <row r="37">
      <c r="A37" s="16" t="inlineStr">
        <is>
          <t>Saldo impago al vencer el plazo</t>
        </is>
      </c>
      <c r="B37" s="21">
        <f>INDEX(B19:Q19,Supuestos!$B$20+1)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50" customWidth="1" min="5" max="5"/>
  </cols>
  <sheetData>
    <row r="1">
      <c r="A1" s="1" t="inlineStr">
        <is>
          <t>ACTIVOS DE RENTA — STRIP CENTER, COLEGIO Y ESTACIÓN DE SERVICIO</t>
        </is>
      </c>
    </row>
    <row r="3">
      <c r="A3" s="3" t="inlineStr">
        <is>
          <t>ETAPA 2 — STRIP CENTER (terreno 4.386 m²)</t>
        </is>
      </c>
    </row>
    <row r="4">
      <c r="A4" s="4" t="inlineStr">
        <is>
          <t>Variable</t>
        </is>
      </c>
      <c r="B4" s="5" t="inlineStr">
        <is>
          <t>Conservador</t>
        </is>
      </c>
      <c r="C4" s="5" t="inlineStr">
        <is>
          <t>Base</t>
        </is>
      </c>
      <c r="D4" s="5" t="inlineStr">
        <is>
          <t>Optimista</t>
        </is>
      </c>
      <c r="E4" s="5" t="inlineStr">
        <is>
          <t>Comentario</t>
        </is>
      </c>
    </row>
    <row r="5">
      <c r="A5" s="6" t="inlineStr">
        <is>
          <t>Superficie arrendable (m²)</t>
        </is>
      </c>
      <c r="B5" s="11" t="n">
        <v>619.2</v>
      </c>
      <c r="C5" s="11" t="n">
        <v>619.2</v>
      </c>
      <c r="D5" s="11" t="n">
        <v>619.2</v>
      </c>
      <c r="E5" s="2" t="inlineStr">
        <is>
          <t>L_05: 8 locales de 38,4 + 2 restaurantes de 156</t>
        </is>
      </c>
    </row>
    <row r="6">
      <c r="A6" s="6" t="inlineStr">
        <is>
          <t>Superficie construida total (m²)</t>
        </is>
      </c>
      <c r="B6" s="11" t="n">
        <v>729.7</v>
      </c>
      <c r="C6" s="11" t="n">
        <v>729.7</v>
      </c>
      <c r="D6" s="11" t="n">
        <v>729.7</v>
      </c>
      <c r="E6" s="2" t="inlineStr">
        <is>
          <t>Incluye administración y baños/camarines</t>
        </is>
      </c>
    </row>
    <row r="7">
      <c r="A7" s="6" t="inlineStr">
        <is>
          <t>Renta (UF/m²/mes)</t>
        </is>
      </c>
      <c r="B7" s="13" t="n">
        <v>0.28</v>
      </c>
      <c r="C7" s="13" t="n">
        <v>0.35</v>
      </c>
      <c r="D7" s="13" t="n">
        <v>0.42</v>
      </c>
      <c r="E7" s="2" t="inlineStr">
        <is>
          <t>Referencia RM: 0,69 en primer piso</t>
        </is>
      </c>
    </row>
    <row r="8">
      <c r="A8" s="6" t="inlineStr">
        <is>
          <t>NOI de 4 canchas de pádel (UF/año)</t>
        </is>
      </c>
      <c r="B8" s="11" t="n">
        <v>500</v>
      </c>
      <c r="C8" s="11" t="n">
        <v>900</v>
      </c>
      <c r="D8" s="11" t="n">
        <v>1350</v>
      </c>
      <c r="E8" s="2" t="inlineStr">
        <is>
          <t>Arrendadas a operador, sin operar</t>
        </is>
      </c>
    </row>
    <row r="9">
      <c r="A9" s="6" t="inlineStr">
        <is>
          <t>Inversión en canchas de pádel (UF)</t>
        </is>
      </c>
      <c r="B9" s="11" t="n">
        <v>4200</v>
      </c>
      <c r="C9" s="11" t="n">
        <v>3500</v>
      </c>
      <c r="D9" s="11" t="n">
        <v>3200</v>
      </c>
      <c r="E9" s="2" t="inlineStr">
        <is>
          <t>4 canchas, cierres e iluminación</t>
        </is>
      </c>
    </row>
    <row r="10">
      <c r="A10" s="6" t="inlineStr">
        <is>
          <t>Vacancia</t>
        </is>
      </c>
      <c r="B10" s="15" t="n">
        <v>0.15</v>
      </c>
      <c r="C10" s="15" t="n">
        <v>0.08</v>
      </c>
      <c r="D10" s="15" t="n">
        <v>0.05</v>
      </c>
      <c r="E10" s="2" t="inlineStr"/>
    </row>
    <row r="11">
      <c r="A11" s="6" t="inlineStr">
        <is>
          <t>Costo de construcción (UF/m²)</t>
        </is>
      </c>
      <c r="B11" s="11" t="n">
        <v>27</v>
      </c>
      <c r="C11" s="11" t="n">
        <v>24</v>
      </c>
      <c r="D11" s="11" t="n">
        <v>22</v>
      </c>
      <c r="E11" s="2" t="inlineStr">
        <is>
          <t>Shell &amp; core</t>
        </is>
      </c>
    </row>
    <row r="12">
      <c r="A12" s="6" t="inlineStr">
        <is>
          <t>Obras exteriores y empalmes (UF)</t>
        </is>
      </c>
      <c r="B12" s="11" t="n">
        <v>4500</v>
      </c>
      <c r="C12" s="11" t="n">
        <v>4500</v>
      </c>
      <c r="D12" s="11" t="n">
        <v>4500</v>
      </c>
      <c r="E12" s="2" t="inlineStr">
        <is>
          <t>Estacionamientos, paisajismo</t>
        </is>
      </c>
    </row>
    <row r="13">
      <c r="A13" s="6" t="inlineStr">
        <is>
          <t>Costos blandos</t>
        </is>
      </c>
      <c r="B13" s="15" t="n">
        <v>0.1</v>
      </c>
      <c r="C13" s="15" t="n">
        <v>0.1</v>
      </c>
      <c r="D13" s="15" t="n">
        <v>0.1</v>
      </c>
      <c r="E13" s="2" t="inlineStr">
        <is>
          <t>Proyectos, permisos, gerencia</t>
        </is>
      </c>
    </row>
    <row r="14">
      <c r="A14" s="6" t="inlineStr">
        <is>
          <t>Terreno asignado (UF)</t>
        </is>
      </c>
      <c r="B14" s="11" t="n">
        <v>2710</v>
      </c>
      <c r="C14" s="11" t="n">
        <v>2710</v>
      </c>
      <c r="D14" s="11" t="n">
        <v>2710</v>
      </c>
      <c r="E14" s="2" t="inlineStr">
        <is>
          <t>2,3% de las 119.000 UF</t>
        </is>
      </c>
    </row>
    <row r="15">
      <c r="A15" s="6" t="inlineStr">
        <is>
          <t>Gastos no recuperables</t>
        </is>
      </c>
      <c r="B15" s="15" t="n">
        <v>0.12</v>
      </c>
      <c r="C15" s="15" t="n">
        <v>0.12</v>
      </c>
      <c r="D15" s="15" t="n">
        <v>0.12</v>
      </c>
      <c r="E15" s="2" t="inlineStr">
        <is>
          <t>Contribuciones, administración</t>
        </is>
      </c>
    </row>
    <row r="16">
      <c r="A16" s="6" t="inlineStr">
        <is>
          <t>Cap rate de salida</t>
        </is>
      </c>
      <c r="B16" s="14" t="n">
        <v>0.095</v>
      </c>
      <c r="C16" s="14" t="n">
        <v>0.08500000000000001</v>
      </c>
      <c r="D16" s="14" t="n">
        <v>0.075</v>
      </c>
      <c r="E16" s="2" t="inlineStr">
        <is>
          <t>Chile 5,8–7,5%; premio regional</t>
        </is>
      </c>
    </row>
    <row r="17">
      <c r="A17" s="16" t="inlineStr">
        <is>
          <t>Inversión total (UF)</t>
        </is>
      </c>
      <c r="B17" s="21">
        <f>B6*B11*(1+B13)+B9+B12+B14</f>
        <v/>
      </c>
      <c r="C17" s="21">
        <f>C6*C11*(1+C13)+C9+C12+C14</f>
        <v/>
      </c>
      <c r="D17" s="21">
        <f>D6*D11*(1+D13)+D9+D12+D14</f>
        <v/>
      </c>
    </row>
    <row r="18">
      <c r="A18" s="16" t="inlineStr">
        <is>
          <t>Renta bruta anual (UF)</t>
        </is>
      </c>
      <c r="B18" s="21">
        <f>B5*B7*12</f>
        <v/>
      </c>
      <c r="C18" s="21">
        <f>C5*C7*12</f>
        <v/>
      </c>
      <c r="D18" s="21">
        <f>D5*D7*12</f>
        <v/>
      </c>
    </row>
    <row r="19">
      <c r="A19" s="16" t="inlineStr">
        <is>
          <t>NOI anual (UF)</t>
        </is>
      </c>
      <c r="B19" s="21">
        <f>B18*(1-B10)*(1-B15)+B8</f>
        <v/>
      </c>
      <c r="C19" s="21">
        <f>C18*(1-C10)*(1-C15)+C8</f>
        <v/>
      </c>
      <c r="D19" s="21">
        <f>D18*(1-D10)*(1-D15)+D8</f>
        <v/>
      </c>
    </row>
    <row r="20">
      <c r="A20" s="16" t="inlineStr">
        <is>
          <t>Yield on cost</t>
        </is>
      </c>
      <c r="B20" s="22">
        <f>B19/B17</f>
        <v/>
      </c>
      <c r="C20" s="22">
        <f>C19/C17</f>
        <v/>
      </c>
      <c r="D20" s="22">
        <f>D19/D17</f>
        <v/>
      </c>
    </row>
    <row r="21">
      <c r="A21" s="16" t="inlineStr">
        <is>
          <t>Valor estabilizado (UF)</t>
        </is>
      </c>
      <c r="B21" s="21">
        <f>B19/B16</f>
        <v/>
      </c>
      <c r="C21" s="21">
        <f>C19/C16</f>
        <v/>
      </c>
      <c r="D21" s="21">
        <f>D19/D16</f>
        <v/>
      </c>
    </row>
    <row r="22">
      <c r="A22" s="16" t="inlineStr">
        <is>
          <t>Creación de valor (UF)</t>
        </is>
      </c>
      <c r="B22" s="21">
        <f>B21-B17</f>
        <v/>
      </c>
      <c r="C22" s="21">
        <f>C21-C17</f>
        <v/>
      </c>
      <c r="D22" s="21">
        <f>D21-D17</f>
        <v/>
      </c>
    </row>
    <row r="23">
      <c r="A23" s="16" t="inlineStr">
        <is>
          <t>Payback (años)</t>
        </is>
      </c>
      <c r="B23" s="24">
        <f>B17/B19</f>
        <v/>
      </c>
      <c r="C23" s="24">
        <f>C17/C19</f>
        <v/>
      </c>
      <c r="D23" s="24">
        <f>D17/D19</f>
        <v/>
      </c>
    </row>
    <row r="26">
      <c r="A26" s="3" t="inlineStr">
        <is>
          <t>ETAPA 3 — COMPARACIÓN DE ALTERNATIVAS PARA EL PAÑO NORTE (18.619 m²)</t>
        </is>
      </c>
    </row>
    <row r="27">
      <c r="A27" s="4" t="inlineStr"/>
      <c r="B27" s="5" t="inlineStr">
        <is>
          <t>Colegio build-to-suit</t>
        </is>
      </c>
      <c r="C27" s="5" t="inlineStr">
        <is>
          <t>Venta del paño</t>
        </is>
      </c>
      <c r="D27" s="5" t="inlineStr">
        <is>
          <t>EDS arrendada</t>
        </is>
      </c>
      <c r="E27" s="5" t="inlineStr">
        <is>
          <t>Comentario</t>
        </is>
      </c>
    </row>
    <row r="28">
      <c r="A28" s="6" t="inlineStr">
        <is>
          <t>Inversión propia (UF)</t>
        </is>
      </c>
      <c r="B28" s="25" t="n">
        <v>177894</v>
      </c>
      <c r="C28" s="25" t="n">
        <v>0</v>
      </c>
      <c r="D28" s="25" t="n">
        <v>4879</v>
      </c>
      <c r="E28" s="2" t="inlineStr">
        <is>
          <t>Colegio L_09: 3.849 m² cerrados + 2.088 patio techado</t>
        </is>
      </c>
    </row>
    <row r="29">
      <c r="A29" s="6" t="inlineStr">
        <is>
          <t>Flujo anual (UF)</t>
        </is>
      </c>
      <c r="B29" s="25" t="n">
        <v>12286</v>
      </c>
      <c r="C29" s="25" t="n">
        <v>0</v>
      </c>
      <c r="D29" s="25" t="n">
        <v>4200</v>
      </c>
      <c r="E29" s="2" t="inlineStr">
        <is>
          <t>EDS: canon de 350 UF/mes</t>
        </is>
      </c>
    </row>
    <row r="30">
      <c r="A30" s="6" t="inlineStr">
        <is>
          <t>Rentabilidad sobre costo</t>
        </is>
      </c>
      <c r="B30" s="26" t="n">
        <v>0.06900000000000001</v>
      </c>
      <c r="C30" s="26" t="n">
        <v>0</v>
      </c>
      <c r="D30" s="26" t="n">
        <v>0.861</v>
      </c>
      <c r="E30" s="2" t="inlineStr"/>
    </row>
    <row r="31">
      <c r="A31" s="6" t="inlineStr">
        <is>
          <t>Valor del activo (UF)</t>
        </is>
      </c>
      <c r="B31" s="25" t="n">
        <v>144541</v>
      </c>
      <c r="C31" s="25" t="n">
        <v>45885</v>
      </c>
      <c r="D31" s="25" t="n">
        <v>56000</v>
      </c>
      <c r="E31" s="2" t="inlineStr">
        <is>
          <t>Venta del paño a 2,5 UF/m²</t>
        </is>
      </c>
    </row>
    <row r="32">
      <c r="A32" s="6" t="inlineStr">
        <is>
          <t>Creación de valor (UF)</t>
        </is>
      </c>
      <c r="B32" s="25" t="n">
        <v>-33352</v>
      </c>
      <c r="C32" s="25" t="n">
        <v>34383</v>
      </c>
      <c r="D32" s="25" t="n">
        <v>51121</v>
      </c>
      <c r="E32" s="2" t="inlineStr">
        <is>
          <t>El colegio destruye valor en escenario Base</t>
        </is>
      </c>
    </row>
    <row r="33">
      <c r="A33" s="6" t="inlineStr">
        <is>
          <t>Payback (años)</t>
        </is>
      </c>
      <c r="B33" s="27" t="n">
        <v>14.5</v>
      </c>
      <c r="C33" s="27" t="n">
        <v>0</v>
      </c>
      <c r="D33" s="27" t="n">
        <v>1.2</v>
      </c>
      <c r="E33" s="2" t="inlineStr"/>
    </row>
    <row r="34">
      <c r="A34" s="6" t="inlineStr">
        <is>
          <t>Superficie que ocupa (m²)</t>
        </is>
      </c>
      <c r="B34" s="25" t="n">
        <v>18354</v>
      </c>
      <c r="C34" s="25" t="n">
        <v>18354</v>
      </c>
      <c r="D34" s="25" t="n">
        <v>2200</v>
      </c>
      <c r="E34" s="2" t="inlineStr">
        <is>
          <t>La EDS deja 16.154 m² libres</t>
        </is>
      </c>
    </row>
    <row r="36">
      <c r="A36" s="28" t="inlineStr">
        <is>
          <t>Requisito duro para la EDS: TMDA de Av. San Miguel sobre 8.000–12.000 veh/día para atraer a un operador de marca. Verificar en Dirección de Vialidad del Maule.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2026-08-11T17:20:23Z</dcterms:created>
  <dcterms:modified xsi:type="dcterms:W3CDTF">2026-08-11T17:20:23Z</dcterms:modified>
</cp:coreProperties>
</file>